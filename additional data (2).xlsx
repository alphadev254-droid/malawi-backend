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ngwi\OneDrive\Desktop\2025\consultancy\NRWA\"/>
    </mc:Choice>
  </mc:AlternateContent>
  <xr:revisionPtr revIDLastSave="0" documentId="13_ncr:9_{A14B95C2-A03B-41B4-9936-6A311CB3ED7B}" xr6:coauthVersionLast="47" xr6:coauthVersionMax="47" xr10:uidLastSave="{00000000-0000-0000-0000-000000000000}"/>
  <bookViews>
    <workbookView xWindow="-110" yWindow="-110" windowWidth="19420" windowHeight="11500" activeTab="3" xr2:uid="{7F97E286-2C8C-44F1-8F86-728DCABADD29}"/>
  </bookViews>
  <sheets>
    <sheet name="All drillers" sheetId="1" r:id="rId1"/>
    <sheet name="Active drillers" sheetId="2" r:id="rId2"/>
    <sheet name="unlicensed applications" sheetId="3" r:id="rId3"/>
    <sheet name="Effluent Categ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2" i="4" l="1"/>
  <c r="AC2" i="4"/>
  <c r="AD2" i="4" s="1"/>
  <c r="AE2" i="4" s="1"/>
  <c r="AF2" i="4" s="1"/>
  <c r="AG2" i="4" s="1"/>
  <c r="AH2" i="4" s="1"/>
  <c r="AI2" i="4" s="1"/>
  <c r="AJ2" i="4" s="1"/>
  <c r="AK2" i="4" s="1"/>
  <c r="AL2" i="4" s="1"/>
  <c r="W2" i="3"/>
  <c r="X2" i="3" s="1"/>
  <c r="Y2" i="3" s="1"/>
  <c r="Z2" i="3" s="1"/>
  <c r="AA2" i="3" s="1"/>
  <c r="AB2" i="3" s="1"/>
  <c r="AC2" i="3" s="1"/>
  <c r="AD2" i="3" s="1"/>
  <c r="AE2" i="3" s="1"/>
  <c r="AF2" i="3" s="1"/>
</calcChain>
</file>

<file path=xl/sharedStrings.xml><?xml version="1.0" encoding="utf-8"?>
<sst xmlns="http://schemas.openxmlformats.org/spreadsheetml/2006/main" count="8186" uniqueCount="1597">
  <si>
    <t>NO.</t>
  </si>
  <si>
    <t xml:space="preserve">Client Name </t>
  </si>
  <si>
    <t>Address</t>
  </si>
  <si>
    <t>Contact</t>
  </si>
  <si>
    <t>Email address</t>
  </si>
  <si>
    <t>Location</t>
  </si>
  <si>
    <t>Grant number</t>
  </si>
  <si>
    <t>Registration Date</t>
  </si>
  <si>
    <t>Expire date</t>
  </si>
  <si>
    <t>Renewal fee</t>
  </si>
  <si>
    <t xml:space="preserve"> Application fees </t>
  </si>
  <si>
    <t>Renewal Fees 2021-2022</t>
  </si>
  <si>
    <t>Renewal Fees 2022- 2023</t>
  </si>
  <si>
    <t>Renewal Fees 2023-2024</t>
  </si>
  <si>
    <t>Status</t>
  </si>
  <si>
    <t>M.H Drillers</t>
  </si>
  <si>
    <t>Box 5620, Limbe</t>
  </si>
  <si>
    <t>mhdrillers2010@gmail.com</t>
  </si>
  <si>
    <t>Blantyre</t>
  </si>
  <si>
    <t>BDP 1/2021,CP 1/2021</t>
  </si>
  <si>
    <t>19/3/2021</t>
  </si>
  <si>
    <t>18/3/2022</t>
  </si>
  <si>
    <t>Renewed</t>
  </si>
  <si>
    <t>Active</t>
  </si>
  <si>
    <t xml:space="preserve">Divine planet Investment </t>
  </si>
  <si>
    <t>Box 41, Lilongwe</t>
  </si>
  <si>
    <t>0999328438/0999267054</t>
  </si>
  <si>
    <t>debbie.mphande@gmail.com</t>
  </si>
  <si>
    <t>Lilongwe</t>
  </si>
  <si>
    <t>BDP 52/2021,CP 52/2021</t>
  </si>
  <si>
    <t>Not yet for renewal</t>
  </si>
  <si>
    <t>expired</t>
  </si>
  <si>
    <t>Thanthwe PVT Company</t>
  </si>
  <si>
    <t>P/Bag 90</t>
  </si>
  <si>
    <t>maseseray@gmail.com</t>
  </si>
  <si>
    <t>Salima</t>
  </si>
  <si>
    <t>BDP 37/2021,CP 37/2021</t>
  </si>
  <si>
    <t>30/06/2021</t>
  </si>
  <si>
    <t>29/06/2022</t>
  </si>
  <si>
    <t>Alimahomed Hassam Trust</t>
  </si>
  <si>
    <t xml:space="preserve"> P/Bag 5, Mangochi</t>
  </si>
  <si>
    <t>mushtaaqwaterdrilling@yahoo.com</t>
  </si>
  <si>
    <t>Mangochi</t>
  </si>
  <si>
    <t>BDP 35/2021,CP 35/2021</t>
  </si>
  <si>
    <t>30.06.2021</t>
  </si>
  <si>
    <t>29.06.2022</t>
  </si>
  <si>
    <t>Renewd</t>
  </si>
  <si>
    <t xml:space="preserve">Vodar Water Technologies </t>
  </si>
  <si>
    <t>Box 882, Zomba</t>
  </si>
  <si>
    <t>099721777/01212721888</t>
  </si>
  <si>
    <t>vodar@globemw.net</t>
  </si>
  <si>
    <t>Zomba</t>
  </si>
  <si>
    <t>BDP 43/2021,CP 43/2021</t>
  </si>
  <si>
    <t>30/6/2021</t>
  </si>
  <si>
    <t>29/6/2022</t>
  </si>
  <si>
    <t>Need for renewal</t>
  </si>
  <si>
    <t>Ananjobvu Construction</t>
  </si>
  <si>
    <t>Box 1074, Lilongwe</t>
  </si>
  <si>
    <t>harvestengineeringmw@gmail.com</t>
  </si>
  <si>
    <t>CP  28/2021</t>
  </si>
  <si>
    <t>Not yet renewed</t>
  </si>
  <si>
    <t>N/A</t>
  </si>
  <si>
    <t xml:space="preserve">Tropical Drilling Company </t>
  </si>
  <si>
    <t>Box 30891, Lilongwe</t>
  </si>
  <si>
    <t>0888831140/265310001381</t>
  </si>
  <si>
    <t>tropicaldrillingco@gmail.com     enockzimba@gmail.com</t>
  </si>
  <si>
    <t>BDP 9/2021,CP 9/2021</t>
  </si>
  <si>
    <t xml:space="preserve">Hydro Water Engineering </t>
  </si>
  <si>
    <t>Box 1546, Lilongwe</t>
  </si>
  <si>
    <t>vijay@hydroengineering.co</t>
  </si>
  <si>
    <t>BDP 8/2021,CP 8/2021</t>
  </si>
  <si>
    <t>Everfresh Investments</t>
  </si>
  <si>
    <t>Box 738, Lilongwe</t>
  </si>
  <si>
    <t>0999031156/0884100731</t>
  </si>
  <si>
    <t>everfreshie@gmail.com</t>
  </si>
  <si>
    <t>LIlongwe</t>
  </si>
  <si>
    <t>BDP 47/2021,CP 47/2021</t>
  </si>
  <si>
    <t>30/09/2021</t>
  </si>
  <si>
    <t>29/09/2022</t>
  </si>
  <si>
    <t xml:space="preserve">GIMM Water Experts Drilling </t>
  </si>
  <si>
    <t>Box 30374, Lilongwe</t>
  </si>
  <si>
    <t xml:space="preserve">  </t>
  </si>
  <si>
    <t>ghilchikweza@yahoo.com</t>
  </si>
  <si>
    <t>BDP 3/2021,CP 3/2021</t>
  </si>
  <si>
    <t xml:space="preserve">China Gansu Engineering Corporation </t>
  </si>
  <si>
    <t>Box 134, Lilongwe</t>
  </si>
  <si>
    <t>XX</t>
  </si>
  <si>
    <t>gansumw@yahoo.com</t>
  </si>
  <si>
    <t>BDP 2/2021,CP 2/2021</t>
  </si>
  <si>
    <t xml:space="preserve">Blue Water Drilling </t>
  </si>
  <si>
    <t>Box 5287, Limbe</t>
  </si>
  <si>
    <t>bwdrilling@gmail.com</t>
  </si>
  <si>
    <t>BDP 7/2021,CP 7/2021</t>
  </si>
  <si>
    <t xml:space="preserve">LoveWater Drilling Company </t>
  </si>
  <si>
    <t>Box 31466, Lilongwe 3</t>
  </si>
  <si>
    <t>0999546000/0993601847</t>
  </si>
  <si>
    <t>bk.lovewaterdrilling@gmail.com</t>
  </si>
  <si>
    <t>BDP 6/2021,CP 6/2021</t>
  </si>
  <si>
    <t xml:space="preserve">WaterTEC Drilling Contractor  </t>
  </si>
  <si>
    <t>Box 2311, Lilongwe</t>
  </si>
  <si>
    <t>0999533555/0888841403</t>
  </si>
  <si>
    <t>rem0707@gmail.com</t>
  </si>
  <si>
    <t>BDP 5/2021,CP 5/2021</t>
  </si>
  <si>
    <t>Need to renewal</t>
  </si>
  <si>
    <t xml:space="preserve">FISD LTD Company </t>
  </si>
  <si>
    <t>Box 31245, Lilongwe 3</t>
  </si>
  <si>
    <t>01713952/0999361757</t>
  </si>
  <si>
    <t>fisd@fisdltd.com</t>
  </si>
  <si>
    <t>BDP 4/2021,CP 4/2021</t>
  </si>
  <si>
    <t>19/03/2021</t>
  </si>
  <si>
    <t>18/03/2022</t>
  </si>
  <si>
    <t>Sanga Construction</t>
  </si>
  <si>
    <t>Box 137, Lilongwe</t>
  </si>
  <si>
    <t>jkapanda@sangaconstructionmw.com</t>
  </si>
  <si>
    <t>BDP 13/2021,CP 13/2021</t>
  </si>
  <si>
    <t>PBM Construction Co. LTD</t>
  </si>
  <si>
    <t>Box 31495, Lilongwe</t>
  </si>
  <si>
    <t>0998895291/0888901940</t>
  </si>
  <si>
    <t>pbmconstructions@gmail.com</t>
  </si>
  <si>
    <t>BDP 12/2021,CP 12/2021</t>
  </si>
  <si>
    <t>BWS Borehole &amp; Water System</t>
  </si>
  <si>
    <t>P Bag 3 Ndilande</t>
  </si>
  <si>
    <t>BWS.boreholes@gmail.com</t>
  </si>
  <si>
    <t>BDP 11/2021,CP 11/2021</t>
  </si>
  <si>
    <t xml:space="preserve">SAIFRO Limited </t>
  </si>
  <si>
    <t>Box 81 Lilongwe</t>
  </si>
  <si>
    <t>saifromw@gmail.com</t>
  </si>
  <si>
    <t>BDP 10/2021,CP 10/2021</t>
  </si>
  <si>
    <t>Kapitapita Borehole Drillers</t>
  </si>
  <si>
    <t>Box 885, Zomba</t>
  </si>
  <si>
    <t>099928996/0888516996</t>
  </si>
  <si>
    <t>teddysmani2016@gmail.com</t>
  </si>
  <si>
    <t>BDP 54/2021,CP 54/2021</t>
  </si>
  <si>
    <t>Kanjira Investment</t>
  </si>
  <si>
    <t xml:space="preserve">Box 130 CrossRoads Lilongwe </t>
  </si>
  <si>
    <t>0888563499/0999744414</t>
  </si>
  <si>
    <t>kanjirainvestments@gmail.com</t>
  </si>
  <si>
    <t>BDP 51/2021,CP 51/2021</t>
  </si>
  <si>
    <t xml:space="preserve">Hydro Solutions LTD </t>
  </si>
  <si>
    <t>Box E 332 POST DOT. NET 1</t>
  </si>
  <si>
    <t>0992597018/0888861651</t>
  </si>
  <si>
    <t>hydrosolutionsmw@gmail.com</t>
  </si>
  <si>
    <t>BDP 50/2021,CP 50/2021</t>
  </si>
  <si>
    <t>Due for renewal</t>
  </si>
  <si>
    <t>Patel &amp; Gohaniya  Drilling Contractor</t>
  </si>
  <si>
    <t>Box 181, Mzuzu</t>
  </si>
  <si>
    <t>0999417860/0882171500</t>
  </si>
  <si>
    <t>pgdrilling.co@gmail.com</t>
  </si>
  <si>
    <t>Mzimba</t>
  </si>
  <si>
    <t>BDP 33/2021,CP 33/2021</t>
  </si>
  <si>
    <t>Amazon Drilling &amp; Exploration Limited</t>
  </si>
  <si>
    <t>Box 5184, Lilongwe</t>
  </si>
  <si>
    <t>amazondrillingcompany@gmail.com</t>
  </si>
  <si>
    <t>BDP 40/2021,CP 40/2021</t>
  </si>
  <si>
    <t>Need Renewal</t>
  </si>
  <si>
    <t xml:space="preserve">Water Drilling Contractors  </t>
  </si>
  <si>
    <t>Box 5910, Limbe</t>
  </si>
  <si>
    <t>0888821399/0999821399</t>
  </si>
  <si>
    <t>BDP 38/2021,CP 38/2021</t>
  </si>
  <si>
    <t xml:space="preserve">World Vision Malawi </t>
  </si>
  <si>
    <t>Box 692, Lilongwe</t>
  </si>
  <si>
    <t>01750540/0999216869</t>
  </si>
  <si>
    <t>ignatius-kamwanje@wvi.org</t>
  </si>
  <si>
    <t>BDP 55/2021,CP 55/2021</t>
  </si>
  <si>
    <t xml:space="preserve">Drill Max Constructor  </t>
  </si>
  <si>
    <t>Box 2278, Lilongwe</t>
  </si>
  <si>
    <t>0999260837/0999260837</t>
  </si>
  <si>
    <t>remmiekagwa@gmail.com</t>
  </si>
  <si>
    <t>BDP 32/2021,CP 32/2021</t>
  </si>
  <si>
    <t>T &amp; T Investment</t>
  </si>
  <si>
    <t>Box 636, Mzuzu</t>
  </si>
  <si>
    <t>tntinvestmalawi@gmail.com</t>
  </si>
  <si>
    <t>BDP 26/2021,CP 26/2021</t>
  </si>
  <si>
    <t xml:space="preserve">MUFRI Africa LTD </t>
  </si>
  <si>
    <t>Box 30810, Chichiri, Blantyre</t>
  </si>
  <si>
    <t>0888465610/0998340826</t>
  </si>
  <si>
    <t>mufrimalawi.africa@gmail.com</t>
  </si>
  <si>
    <t>BDP 41/2021,CP 41/2021</t>
  </si>
  <si>
    <t>need for renewal</t>
  </si>
  <si>
    <t xml:space="preserve">Borehole Construction &amp; Groundwater Management Fund </t>
  </si>
  <si>
    <t>P/Bag 390, Lilongwe 3</t>
  </si>
  <si>
    <t>1770344 /0999953997</t>
  </si>
  <si>
    <t>gjwanangwa@gmail.com</t>
  </si>
  <si>
    <t>BDP 31/2021,CP 31/2021</t>
  </si>
  <si>
    <t>30/06/2022</t>
  </si>
  <si>
    <t>29/06/2023</t>
  </si>
  <si>
    <t>Water boring contractor</t>
  </si>
  <si>
    <t>Box 426, Lilongwe</t>
  </si>
  <si>
    <t>faz@africa-online.net</t>
  </si>
  <si>
    <t>BDP 30/2021,CP 30/2021</t>
  </si>
  <si>
    <t xml:space="preserve">Market Worth Traders LTD </t>
  </si>
  <si>
    <t>Box 1877, Lilongwe</t>
  </si>
  <si>
    <t>marketworthdrillers@gmail.com</t>
  </si>
  <si>
    <t>BDP 29/2021</t>
  </si>
  <si>
    <t xml:space="preserve">Central Construction Group </t>
  </si>
  <si>
    <t>LTD Box 1012, Lilongwe</t>
  </si>
  <si>
    <t>0999511010/099953215</t>
  </si>
  <si>
    <t>andychiphwanya@gmail.com</t>
  </si>
  <si>
    <t>BDP 42/2021,CP 42/2021</t>
  </si>
  <si>
    <t xml:space="preserve">Morch Borehole Drilling </t>
  </si>
  <si>
    <t>P.O.Box 5060, Limbe</t>
  </si>
  <si>
    <t>0999970319/0999952220</t>
  </si>
  <si>
    <t>morchdrillers@gmail.com</t>
  </si>
  <si>
    <t>BDP 45/2021,CP 45/2021</t>
  </si>
  <si>
    <t>30/9/2021</t>
  </si>
  <si>
    <t>29/9/2022</t>
  </si>
  <si>
    <t xml:space="preserve">SAWA Group Limited </t>
  </si>
  <si>
    <t>Box 31560, Lilongwe 3</t>
  </si>
  <si>
    <t>0888999007/0999796552</t>
  </si>
  <si>
    <t>info@groupsawa.com</t>
  </si>
  <si>
    <t>BDP 46/2021,CP 46/2021</t>
  </si>
  <si>
    <t xml:space="preserve">Ndafika Drilling </t>
  </si>
  <si>
    <t>Box 5314, Limbe</t>
  </si>
  <si>
    <t>0999786123/0991133066</t>
  </si>
  <si>
    <t>ndafikadrilling@gmail.com</t>
  </si>
  <si>
    <t>BDP 39/2021,CP 39/2021</t>
  </si>
  <si>
    <t xml:space="preserve">RKN Transition investments </t>
  </si>
  <si>
    <t>Box 30878, Lilongwe 3</t>
  </si>
  <si>
    <t>0888622777/099954550</t>
  </si>
  <si>
    <t>rkntransition@gmail.com</t>
  </si>
  <si>
    <t>BDP 49/2021,CP 49/2021</t>
  </si>
  <si>
    <t>need renewal</t>
  </si>
  <si>
    <t xml:space="preserve">K.C. Drillers  </t>
  </si>
  <si>
    <t>Box 31018, Lilongwe</t>
  </si>
  <si>
    <t>0997000309/0999100480</t>
  </si>
  <si>
    <t>BDP 36/2021,CP 36/2021</t>
  </si>
  <si>
    <t>Water way</t>
  </si>
  <si>
    <t>Box 1025, Zomba</t>
  </si>
  <si>
    <t>0990055474</t>
  </si>
  <si>
    <t>waterwaymalawi@gmail.com</t>
  </si>
  <si>
    <t>BDP 25/2021,CP 25/2021</t>
  </si>
  <si>
    <t>DOXA Wells Drilling</t>
  </si>
  <si>
    <t xml:space="preserve">Box 30192 , Lilongwe </t>
  </si>
  <si>
    <t>0999037690/0883619401</t>
  </si>
  <si>
    <t>doxacustomerservice@gmail.com</t>
  </si>
  <si>
    <t xml:space="preserve">Easy Borehole Drillers </t>
  </si>
  <si>
    <t>Box 3332, Blantyre</t>
  </si>
  <si>
    <t>088434445/0999434445</t>
  </si>
  <si>
    <t>eazybhd@yahoo.com</t>
  </si>
  <si>
    <t>BDP 17/2021,CP 17/2021</t>
  </si>
  <si>
    <t>Geoserve engineering</t>
  </si>
  <si>
    <t>Box 526, Limbe</t>
  </si>
  <si>
    <t>pnyemba@geoservemw.com</t>
  </si>
  <si>
    <t>BDP 16/2021,CP 16/2021</t>
  </si>
  <si>
    <t xml:space="preserve">Keiretsu Construction LTD  </t>
  </si>
  <si>
    <t>Box 201, Lilongwe</t>
  </si>
  <si>
    <t>01775125/0991249410</t>
  </si>
  <si>
    <t>keiretsu@globemw.net</t>
  </si>
  <si>
    <t>BDP 15/2021,CP 15/2021</t>
  </si>
  <si>
    <t xml:space="preserve">MBM Drilling Solutions </t>
  </si>
  <si>
    <t xml:space="preserve"> Box 3333, Blantyre</t>
  </si>
  <si>
    <t>0999292979/0888292979</t>
  </si>
  <si>
    <t>mbmdrillingsolutions@gmail.com</t>
  </si>
  <si>
    <t>BDP 48/2021,CP 48/2021</t>
  </si>
  <si>
    <t>Nditha Civil &amp; Drilling Contractors</t>
  </si>
  <si>
    <t>Box 30947, Lilongwe</t>
  </si>
  <si>
    <t>thokochisamba@gmail.com</t>
  </si>
  <si>
    <t>BDP 22/2021,CP 22/2021</t>
  </si>
  <si>
    <t xml:space="preserve">Dindi Investment  </t>
  </si>
  <si>
    <t>Box 1759, Lilongwe</t>
  </si>
  <si>
    <t>0888500000</t>
  </si>
  <si>
    <t>dindiholdingsmw77@gmail.com</t>
  </si>
  <si>
    <t>BDP 21/2021,CP 21/2021</t>
  </si>
  <si>
    <t>Malawi Relief Fund UK</t>
  </si>
  <si>
    <t>Box 51872, Limbe</t>
  </si>
  <si>
    <t>0999245648/0888827058</t>
  </si>
  <si>
    <t>admin@malawirelief.org</t>
  </si>
  <si>
    <t>BDP 20/2021,CP 20/2021</t>
  </si>
  <si>
    <t xml:space="preserve">Dechagos Construction </t>
  </si>
  <si>
    <t>Box 94, Karonga</t>
  </si>
  <si>
    <t>0999246905</t>
  </si>
  <si>
    <t>chagomaj@yahoo.com</t>
  </si>
  <si>
    <t>Karonga</t>
  </si>
  <si>
    <t>BDP 19/2021,CP 19/2021</t>
  </si>
  <si>
    <t xml:space="preserve">United Purpose </t>
  </si>
  <si>
    <t xml:space="preserve">Box 159, Lilongwe </t>
  </si>
  <si>
    <t>0992219685/01772745</t>
  </si>
  <si>
    <t>uplilongwe@united-purpose.org</t>
  </si>
  <si>
    <t>BDP 18/2021,CP 18/2021</t>
  </si>
  <si>
    <t xml:space="preserve">Mthunzi Wa Kachere, drilling Compan </t>
  </si>
  <si>
    <t>Box 19, Mtunthuma, Kasungu</t>
  </si>
  <si>
    <t>hon.mfkazombo@gmail.com</t>
  </si>
  <si>
    <t>Kasungu</t>
  </si>
  <si>
    <t>BDP 23/2021,CP 23/2021</t>
  </si>
  <si>
    <t>Mozagua Malawi LTD</t>
  </si>
  <si>
    <t xml:space="preserve">Box 51569, Limbe </t>
  </si>
  <si>
    <t>0888843892/0888824022</t>
  </si>
  <si>
    <t>mozagua@africa-online.net</t>
  </si>
  <si>
    <t>BDP 27/2021,CP 27/2021</t>
  </si>
  <si>
    <t xml:space="preserve">I &amp; I Transport and Drilling </t>
  </si>
  <si>
    <t>Box 4295, Soche , Blantyre</t>
  </si>
  <si>
    <t>0995267274/0881188111</t>
  </si>
  <si>
    <t>1ishpatel786@gmail.com</t>
  </si>
  <si>
    <t>BDP 24/2021,CP 24/2021</t>
  </si>
  <si>
    <t>Master Borehole Drilling</t>
  </si>
  <si>
    <t>Box 1085, Lilongwe</t>
  </si>
  <si>
    <t>01759583/0995809337</t>
  </si>
  <si>
    <t>mastersborehole@gmail.com</t>
  </si>
  <si>
    <t>BDP 14/2021,CP 14/2021</t>
  </si>
  <si>
    <t>Mercury Construction, Clean Water Drilling</t>
  </si>
  <si>
    <t>P/ Bag 411, Lilongwe</t>
  </si>
  <si>
    <t>0888988546/0997610630</t>
  </si>
  <si>
    <t>fredchiweza@gmail.com</t>
  </si>
  <si>
    <t>BDL 58/2022,CP 58/2022</t>
  </si>
  <si>
    <t xml:space="preserve">Water For Life Boreholes </t>
  </si>
  <si>
    <t>Box 19, Lumbadzi</t>
  </si>
  <si>
    <t>0999254963/0994652020</t>
  </si>
  <si>
    <t>rashidsatinumali@gmail.com</t>
  </si>
  <si>
    <t>Dowa</t>
  </si>
  <si>
    <t>BDL 59/2022,CP 59/2023</t>
  </si>
  <si>
    <t>25/3/2022</t>
  </si>
  <si>
    <t>24/3/2023</t>
  </si>
  <si>
    <t xml:space="preserve"> </t>
  </si>
  <si>
    <t xml:space="preserve">Peniel Construction </t>
  </si>
  <si>
    <t>Box 1129, Blantyre</t>
  </si>
  <si>
    <t>penielconstleb@gmail.com</t>
  </si>
  <si>
    <t>BDL 60/2022,CP 60/2023</t>
  </si>
  <si>
    <t>RYMECH Limited</t>
  </si>
  <si>
    <t>P/Bag 5, Bvumbwe</t>
  </si>
  <si>
    <t>0999808764/0884910764</t>
  </si>
  <si>
    <t>luke@ness.africa / lmutuwawira@yahoo.com</t>
  </si>
  <si>
    <t>Thyolo</t>
  </si>
  <si>
    <t>BDL 50/2021,CP 50/2022</t>
  </si>
  <si>
    <t>need more invistigation</t>
  </si>
  <si>
    <t xml:space="preserve">Leads Limited </t>
  </si>
  <si>
    <t>P.O Box 3206, Blantyre</t>
  </si>
  <si>
    <t>BDL 62/2022,CP 62/2023</t>
  </si>
  <si>
    <t>OG Madzi Driller</t>
  </si>
  <si>
    <t>Limbe</t>
  </si>
  <si>
    <t>0999151787</t>
  </si>
  <si>
    <t>info@ogmadzidrillers.com</t>
  </si>
  <si>
    <t>BDL 63/2022,CP 63/2023</t>
  </si>
  <si>
    <r>
      <t>AI</t>
    </r>
    <r>
      <rPr>
        <vertAlign val="subscript"/>
        <sz val="12"/>
        <rFont val="Aptos Narrow"/>
        <family val="2"/>
        <scheme val="minor"/>
      </rPr>
      <t>-</t>
    </r>
    <r>
      <rPr>
        <sz val="12"/>
        <rFont val="Aptos Narrow"/>
        <family val="2"/>
        <scheme val="minor"/>
      </rPr>
      <t>rede Farm Limited</t>
    </r>
  </si>
  <si>
    <t>Box 481, Zomba</t>
  </si>
  <si>
    <t>0999455145/0991468937</t>
  </si>
  <si>
    <t>BDL 7/2022,CP 7/2023</t>
  </si>
  <si>
    <t>Royale Hill Construction</t>
  </si>
  <si>
    <t>E350 Post dot Net, Lilongwe</t>
  </si>
  <si>
    <t>0999747500/0993762646</t>
  </si>
  <si>
    <t>royal.limited@gmail.com</t>
  </si>
  <si>
    <t>BDL57/2022</t>
  </si>
  <si>
    <t>Not yet due for renewal</t>
  </si>
  <si>
    <t xml:space="preserve">Double Universal Construction Engineering Co Ltd </t>
  </si>
  <si>
    <t>P.O.Box 40328</t>
  </si>
  <si>
    <t>0995422802/0888375302</t>
  </si>
  <si>
    <t>ducemalawi@gmail.com</t>
  </si>
  <si>
    <t>BDL58/2022</t>
  </si>
  <si>
    <t xml:space="preserve">Chipula Construction and Water Services </t>
  </si>
  <si>
    <t>P.O.Box 5656</t>
  </si>
  <si>
    <t>0884182573/09981123105</t>
  </si>
  <si>
    <t>BDL68/2022</t>
  </si>
  <si>
    <t xml:space="preserve">Contact Drillers </t>
  </si>
  <si>
    <t>P.O.Box 5306</t>
  </si>
  <si>
    <t>0999469867/0888517011</t>
  </si>
  <si>
    <t>cdrillers@gmail.com</t>
  </si>
  <si>
    <t>BDL69/2022</t>
  </si>
  <si>
    <t>Competent Electrical and Solar Contractors</t>
  </si>
  <si>
    <t>P.O.Box 108</t>
  </si>
  <si>
    <t>0995078505/0882142506</t>
  </si>
  <si>
    <t>rodneykaunga@gmail.com</t>
  </si>
  <si>
    <t>Mzuzu</t>
  </si>
  <si>
    <t>BDL65/2022</t>
  </si>
  <si>
    <t>Mathews Borehole</t>
  </si>
  <si>
    <t>P.O. Box 38</t>
  </si>
  <si>
    <t>0888909960/088909960</t>
  </si>
  <si>
    <t>kattyolekel@gmail.com</t>
  </si>
  <si>
    <t>BDL66/2022</t>
  </si>
  <si>
    <t xml:space="preserve">Pyramid Civil Engineering </t>
  </si>
  <si>
    <t>P.O. Box 31137</t>
  </si>
  <si>
    <t>0888874936/0881550494</t>
  </si>
  <si>
    <t>pyramidgroup2010@gmail.com</t>
  </si>
  <si>
    <t>BDL67/2022</t>
  </si>
  <si>
    <t>Rodu Drilling Company</t>
  </si>
  <si>
    <t>P.O.Box 40304</t>
  </si>
  <si>
    <t>0998900900/0888688880</t>
  </si>
  <si>
    <t>BDL70/2022</t>
  </si>
  <si>
    <t>Not yet for Renewal</t>
  </si>
  <si>
    <t>Choice Construction</t>
  </si>
  <si>
    <t>P.O. Box 31284</t>
  </si>
  <si>
    <t>0999061449/0888115015</t>
  </si>
  <si>
    <t>BDL71/2022</t>
  </si>
  <si>
    <t>Orifice Irrigation and Water Supply Limited</t>
  </si>
  <si>
    <t>P.O.Box 54</t>
  </si>
  <si>
    <t>0982636384/0982636384</t>
  </si>
  <si>
    <t>oiws@gmail.com</t>
  </si>
  <si>
    <t>BDL72/2022</t>
  </si>
  <si>
    <t>Mpatsa Engineering Limited</t>
  </si>
  <si>
    <t>P.O.Box 3055</t>
  </si>
  <si>
    <t xml:space="preserve">0982636384/0982636384 </t>
  </si>
  <si>
    <t>ulayamwale@gmail.com</t>
  </si>
  <si>
    <t>BDL73/2022</t>
  </si>
  <si>
    <t xml:space="preserve">DEC Construction </t>
  </si>
  <si>
    <t>Box 3034, Blantyre</t>
  </si>
  <si>
    <t>0885911536/0888859272/0999333303</t>
  </si>
  <si>
    <t>deccostruction@rocketmail.com</t>
  </si>
  <si>
    <t>BDL 76/2022, CP76/2022</t>
  </si>
  <si>
    <t>Joka Construction</t>
  </si>
  <si>
    <t>Box 31162, Blantyre</t>
  </si>
  <si>
    <t>0996604114/0881279996</t>
  </si>
  <si>
    <t>jokaconstruction@gmail.com</t>
  </si>
  <si>
    <t>BDL 74/2022,CP 74/2022</t>
  </si>
  <si>
    <t>16/06/2022</t>
  </si>
  <si>
    <t>Nyalunganu Construction</t>
  </si>
  <si>
    <t>P.O Box 2512, Lilongwe</t>
  </si>
  <si>
    <t xml:space="preserve">0998648333 / 0886664900 </t>
  </si>
  <si>
    <t>edgarmahambasoko@gmail.com</t>
  </si>
  <si>
    <t>BDL 44/2021</t>
  </si>
  <si>
    <t>30.09.2021</t>
  </si>
  <si>
    <t>29.09.2022</t>
  </si>
  <si>
    <t>Due for Renewal</t>
  </si>
  <si>
    <t>Oversees Limited</t>
  </si>
  <si>
    <t>Box 51122, Limbe</t>
  </si>
  <si>
    <t>0888317107</t>
  </si>
  <si>
    <t>jmbyaila@gmail.com</t>
  </si>
  <si>
    <t>BDL53/2021,CP53/2021</t>
  </si>
  <si>
    <t xml:space="preserve">Pinnacle Investments </t>
  </si>
  <si>
    <t>Box 2033, Blantyre</t>
  </si>
  <si>
    <t>0992678092/+253310002287</t>
  </si>
  <si>
    <t>info@pinnaclemw.net</t>
  </si>
  <si>
    <t>BDL 79/2023, CP 79/2023</t>
  </si>
  <si>
    <t>Allam Afro Arah Limited</t>
  </si>
  <si>
    <t>Box 47, Blantyre</t>
  </si>
  <si>
    <t>0990354544/0984939500</t>
  </si>
  <si>
    <t>BDL 78/2023, CP 78/2023</t>
  </si>
  <si>
    <t xml:space="preserve">Hydrotek 5 Primrose Court </t>
  </si>
  <si>
    <t xml:space="preserve">Walani Road ,Mount Pleasant   </t>
  </si>
  <si>
    <t xml:space="preserve">888861651/0999961651 </t>
  </si>
  <si>
    <t xml:space="preserve">hydrotekmw@gmail </t>
  </si>
  <si>
    <t xml:space="preserve">Blantyre </t>
  </si>
  <si>
    <t>BDL80/2023,CP80/2023</t>
  </si>
  <si>
    <t xml:space="preserve">Kumudzi Kuwale LTD </t>
  </si>
  <si>
    <t>Box 162, Nkhotakota</t>
  </si>
  <si>
    <t>888728242/0990212987</t>
  </si>
  <si>
    <t>contact@kumudzikuwale.com</t>
  </si>
  <si>
    <t>Nkhotakota</t>
  </si>
  <si>
    <t>BDL75/2022</t>
  </si>
  <si>
    <t xml:space="preserve">Aquatech Master </t>
  </si>
  <si>
    <t>Box 5483, Limbe</t>
  </si>
  <si>
    <t>0888362743/0998058585</t>
  </si>
  <si>
    <t>aquatech.master@yahoo.com</t>
  </si>
  <si>
    <t>BDL 77/2022</t>
  </si>
  <si>
    <t xml:space="preserve">World Changes Borehole Constractors </t>
  </si>
  <si>
    <t>Box 31804 , Blantyre</t>
  </si>
  <si>
    <t>wchangersbc@yahoo.com/bmalekano99@gmail.com</t>
  </si>
  <si>
    <t>BDL 81/2023/CP 81/2023</t>
  </si>
  <si>
    <t>Sachiko Water Limited</t>
  </si>
  <si>
    <t>P. O Box 279, Balaka</t>
  </si>
  <si>
    <t>0995124265/0992235336</t>
  </si>
  <si>
    <t>sachikowaterlimited@gmail.com</t>
  </si>
  <si>
    <t>Balaka</t>
  </si>
  <si>
    <t>BDL 82/2023/CP 82/2023</t>
  </si>
  <si>
    <t>Clear Water Boreholes Drillers</t>
  </si>
  <si>
    <t>P. O Box 1665, Lilongwe</t>
  </si>
  <si>
    <t>0999705139/0999786700</t>
  </si>
  <si>
    <t>sawaka@gmail.com</t>
  </si>
  <si>
    <t>BDL 83/2023</t>
  </si>
  <si>
    <t>Hope Water Limited</t>
  </si>
  <si>
    <t>The Hope Centre Building, Kanyere Village, Box 169, Lumbadzi</t>
  </si>
  <si>
    <t>0999267323/0888467323</t>
  </si>
  <si>
    <t>innocentsemu77@gmail.com</t>
  </si>
  <si>
    <t>BDL 84/2023/CP84/2023</t>
  </si>
  <si>
    <t>HPL Engineering Limited</t>
  </si>
  <si>
    <t>Box 31818 Lilongwe 3</t>
  </si>
  <si>
    <t>hplengineeringmw@gmail.com</t>
  </si>
  <si>
    <t>BDL94/2023</t>
  </si>
  <si>
    <t>Ron Company</t>
  </si>
  <si>
    <t>Box 31792 Lilongwe</t>
  </si>
  <si>
    <t>ronchiwaula@gmail.com</t>
  </si>
  <si>
    <t>BDL95 /2023</t>
  </si>
  <si>
    <t>Leonor Engineering Limited</t>
  </si>
  <si>
    <t>Box 2146 Lilongwe</t>
  </si>
  <si>
    <t>BDL 96 /2023</t>
  </si>
  <si>
    <t>Aroha Irrigation</t>
  </si>
  <si>
    <t xml:space="preserve">Box 20165 Lilongwe </t>
  </si>
  <si>
    <t>BDL97 /2023</t>
  </si>
  <si>
    <t>Kasupe Water Drilling</t>
  </si>
  <si>
    <t>Box 227 Zomba</t>
  </si>
  <si>
    <t>kasupewaters@gmail.com</t>
  </si>
  <si>
    <t>BDL 98 /2023</t>
  </si>
  <si>
    <t>Chipozani Drilling Company</t>
  </si>
  <si>
    <t>Box 1160 Lilongwe</t>
  </si>
  <si>
    <t>chiukepongwira@yahoo.com</t>
  </si>
  <si>
    <t>BDL 99 /2023</t>
  </si>
  <si>
    <t>Hydrotech Limited</t>
  </si>
  <si>
    <t>P. O. Box 40677 Kanengo, Lilongwe</t>
  </si>
  <si>
    <t>suzgo.mapunda@hydrotechmw.com</t>
  </si>
  <si>
    <t>BDL100/2023</t>
  </si>
  <si>
    <t>Water and Sanitation Products</t>
  </si>
  <si>
    <t>P. O. Box 493 Lilongwe</t>
  </si>
  <si>
    <t>wspmalawi@gmail.com</t>
  </si>
  <si>
    <t>BDL 101/2023</t>
  </si>
  <si>
    <t>Solarise Limited</t>
  </si>
  <si>
    <t>P. O. Box 721 Lilongwe</t>
  </si>
  <si>
    <t>hello@solarisemw.net</t>
  </si>
  <si>
    <t>BDL 102/2023</t>
  </si>
  <si>
    <t>COUNT</t>
  </si>
  <si>
    <t>Licence holder</t>
  </si>
  <si>
    <t>LOCATION</t>
  </si>
  <si>
    <t>COORDINATES</t>
  </si>
  <si>
    <t>DISTRCIT</t>
  </si>
  <si>
    <t>GRANT NUMBER</t>
  </si>
  <si>
    <t xml:space="preserve">Expected Annual rental </t>
  </si>
  <si>
    <t>Expected renewal fee</t>
  </si>
  <si>
    <t>YEARS IN ARREAR</t>
  </si>
  <si>
    <t>Physical Adress / Plot Number</t>
  </si>
  <si>
    <t>CONTACT PERSON</t>
  </si>
  <si>
    <t>PHONE CONTACTS</t>
  </si>
  <si>
    <t>EMAIL ADDRESS</t>
  </si>
  <si>
    <t>MAILING ADDRESS</t>
  </si>
  <si>
    <t>X</t>
  </si>
  <si>
    <t>Y</t>
  </si>
  <si>
    <t>Duration (YRS)</t>
  </si>
  <si>
    <t>Expiry Date</t>
  </si>
  <si>
    <t>Registration Date/Renewal</t>
  </si>
  <si>
    <t>GPS Coordinates/Grid</t>
  </si>
  <si>
    <t>Name of Granter</t>
  </si>
  <si>
    <t>Volume (M3/Day</t>
  </si>
  <si>
    <t>Source</t>
  </si>
  <si>
    <t xml:space="preserve">Use </t>
  </si>
  <si>
    <t>ESCOM</t>
  </si>
  <si>
    <t xml:space="preserve">Sadzu Village </t>
  </si>
  <si>
    <t>Box 47, Salima</t>
  </si>
  <si>
    <t>Sadzu Village, Nanjoka Sub-station</t>
  </si>
  <si>
    <t>Borehole</t>
  </si>
  <si>
    <t>Domestic</t>
  </si>
  <si>
    <t>Paid</t>
  </si>
  <si>
    <t>Nordam</t>
  </si>
  <si>
    <t>Nkhandwe Village, T/A Kalimanjira</t>
  </si>
  <si>
    <t>Box 120, Nkhotakota</t>
  </si>
  <si>
    <t>Nkhandwe Village, T/A Kalimanjiraq</t>
  </si>
  <si>
    <t>Irrigation</t>
  </si>
  <si>
    <t>Not Yet Paid</t>
  </si>
  <si>
    <t>Madzi Odikha Lodge</t>
  </si>
  <si>
    <t>Vinthenga Village, T/A Malengachanzi</t>
  </si>
  <si>
    <t>Mr Phiri</t>
  </si>
  <si>
    <t>Phangwa Village, T/A Chikawo</t>
  </si>
  <si>
    <t>Mr. Phiri</t>
  </si>
  <si>
    <t>Not sure if it is paid</t>
  </si>
  <si>
    <t>Chiradzulu TTC BH3</t>
  </si>
  <si>
    <t>Saukira Village, T/A Mkalo</t>
  </si>
  <si>
    <t>Allena Mjima (Principal)</t>
  </si>
  <si>
    <t>0999346086/0884798886</t>
  </si>
  <si>
    <t>allenmjima@gmail.com</t>
  </si>
  <si>
    <t>P/Bag 540, Chiradzulu</t>
  </si>
  <si>
    <t>Chiradzulu</t>
  </si>
  <si>
    <t>Irrigation/Domestic</t>
  </si>
  <si>
    <t>Chiradzulu TTC BH2 (Houses)</t>
  </si>
  <si>
    <t>Chiradzulu TTC BH1 (Tank)</t>
  </si>
  <si>
    <t>Jaghayagha Jaranthowa Mkandawire</t>
  </si>
  <si>
    <t xml:space="preserve">Lilongwe </t>
  </si>
  <si>
    <t>Box 30982, Lilongwe 3</t>
  </si>
  <si>
    <t>not sure if it was paid</t>
  </si>
  <si>
    <t xml:space="preserve">Standard Bank </t>
  </si>
  <si>
    <t>Head office, Lilongwe</t>
  </si>
  <si>
    <t>Water Drilling Contractors</t>
  </si>
  <si>
    <t>Head Office, Lilongwe</t>
  </si>
  <si>
    <t>Salima Standard Bank</t>
  </si>
  <si>
    <t>Mponera Standard Bank</t>
  </si>
  <si>
    <t>Mponera Stamdard Bank</t>
  </si>
  <si>
    <t>Ntcheu Standard Bank</t>
  </si>
  <si>
    <t>Ntcheu Stamdard Bank</t>
  </si>
  <si>
    <t>Ntcheu</t>
  </si>
  <si>
    <t>Mangochi Standard Bank</t>
  </si>
  <si>
    <t>Luchenza Standard Bank</t>
  </si>
  <si>
    <t>Fermak</t>
  </si>
  <si>
    <t xml:space="preserve">Mikule 2, T/A Maganga </t>
  </si>
  <si>
    <t>Eunice Chavula</t>
  </si>
  <si>
    <t>Roger Anthony Garside</t>
  </si>
  <si>
    <t>Plot No. 3/409, Lilongwe</t>
  </si>
  <si>
    <t>Box 102, Lilongwe</t>
  </si>
  <si>
    <t>Dimelo</t>
  </si>
  <si>
    <t>Nkhandwe Village, T/A MalengaChanzi</t>
  </si>
  <si>
    <t>Nkhandwe Village, T/A Malengachanzi</t>
  </si>
  <si>
    <t>CHP Cottage</t>
  </si>
  <si>
    <t>Sengabay</t>
  </si>
  <si>
    <t>Simon Cousin</t>
  </si>
  <si>
    <t>999225817/0995205830</t>
  </si>
  <si>
    <t>Domestic/Irrigation</t>
  </si>
  <si>
    <t>Crocodile Farm</t>
  </si>
  <si>
    <t xml:space="preserve">Salima  </t>
  </si>
  <si>
    <t>Cavallo</t>
  </si>
  <si>
    <t xml:space="preserve">Salima   </t>
  </si>
  <si>
    <t>Marist Brothers</t>
  </si>
  <si>
    <t>Marist Brothers Cottage</t>
  </si>
  <si>
    <t>Br. Chibambo</t>
  </si>
  <si>
    <t>Box 1077, Lilongwe</t>
  </si>
  <si>
    <t>Sengabay-Kambiri, Chitoto Village</t>
  </si>
  <si>
    <t>Nsanje District Council</t>
  </si>
  <si>
    <t xml:space="preserve">Kalonga Village, T/A Mulolo, </t>
  </si>
  <si>
    <t>Box 26, Nsanje</t>
  </si>
  <si>
    <t>Chigwamafumu F.P. School</t>
  </si>
  <si>
    <t>Nsanje</t>
  </si>
  <si>
    <t xml:space="preserve">Sambani Village, T/A Mulolo, </t>
  </si>
  <si>
    <t>Makhanga F.P. School</t>
  </si>
  <si>
    <t>Sunbird Mzuzu Hotel</t>
  </si>
  <si>
    <t>Mzuzu Hotel</t>
  </si>
  <si>
    <t>0888965032/01310622/0888965032</t>
  </si>
  <si>
    <t>mzuzureception@sunbirdmalawi.com</t>
  </si>
  <si>
    <t>Box 231, Mzuzu</t>
  </si>
  <si>
    <t>Mzuzu hote</t>
  </si>
  <si>
    <t>St. Thomas The Apostle Parish</t>
  </si>
  <si>
    <t>St. Thomas The Apostle Parish, Zolozolo</t>
  </si>
  <si>
    <t>0887912612/0999393835/0994236862</t>
  </si>
  <si>
    <t>st.thomas.zolozolo@gmail.com</t>
  </si>
  <si>
    <t>Box 32, Mzuzu</t>
  </si>
  <si>
    <t>Zolozolo</t>
  </si>
  <si>
    <t xml:space="preserve">Grand Palace Hotel </t>
  </si>
  <si>
    <t>Grand Palace Hotel, Mzuzu</t>
  </si>
  <si>
    <t>0130333/0998353280</t>
  </si>
  <si>
    <t>info@thegrandpalacemalawi.com</t>
  </si>
  <si>
    <t>Box 841, Mzuzu</t>
  </si>
  <si>
    <t xml:space="preserve">Mzuzu  </t>
  </si>
  <si>
    <t>Combon Missionaries</t>
  </si>
  <si>
    <t>43/2/133</t>
  </si>
  <si>
    <t>0984137747/0999989184</t>
  </si>
  <si>
    <t>Box 1398, Lilongwe</t>
  </si>
  <si>
    <t>Car Wash</t>
  </si>
  <si>
    <t xml:space="preserve">Mzuzu Technical College </t>
  </si>
  <si>
    <t>Zolozolo, Mzuzu</t>
  </si>
  <si>
    <t>0993660646/099994522</t>
  </si>
  <si>
    <t>julius.phiri4@gmail.com</t>
  </si>
  <si>
    <t>Box 316, Mzuzu</t>
  </si>
  <si>
    <t>Industrial</t>
  </si>
  <si>
    <t>Matundu Cottage</t>
  </si>
  <si>
    <t>Sengabay, Salima</t>
  </si>
  <si>
    <t>Mr Lowsey Mbulo</t>
  </si>
  <si>
    <t>0888835777/0880876593</t>
  </si>
  <si>
    <t>booking@matunducottagemw.com</t>
  </si>
  <si>
    <t>Box 1488, Lilongwe</t>
  </si>
  <si>
    <t>Lakeside Hotel</t>
  </si>
  <si>
    <t>Mikute Village, T/A Maganga, Salima</t>
  </si>
  <si>
    <t>Clement Masta</t>
  </si>
  <si>
    <t>0999311228/01263400/0999777199</t>
  </si>
  <si>
    <t>Box 394, Salima</t>
  </si>
  <si>
    <t>National Bank Cottage</t>
  </si>
  <si>
    <t>Noel January</t>
  </si>
  <si>
    <t>Box 945, Blantyre</t>
  </si>
  <si>
    <t>Sunbird Capital Hotel</t>
  </si>
  <si>
    <t>City Centre</t>
  </si>
  <si>
    <t>Patrick Kalim</t>
  </si>
  <si>
    <t>capitalres@sunbirdmalawi.com</t>
  </si>
  <si>
    <t>Box 30018, Lilongwe</t>
  </si>
  <si>
    <t>Press Trust</t>
  </si>
  <si>
    <t>Press Trust Cottage, Sengabay</t>
  </si>
  <si>
    <t>Thoko Moffat/Mrs Chuthi</t>
  </si>
  <si>
    <t>0884301699/0888835501</t>
  </si>
  <si>
    <t>Box 359, Lilongwe</t>
  </si>
  <si>
    <t>Andrews Lodge</t>
  </si>
  <si>
    <t>Mikute 2, T/A Maganga</t>
  </si>
  <si>
    <t>Andrews Makupete</t>
  </si>
  <si>
    <t>0999188232/0998888786</t>
  </si>
  <si>
    <t>Box 599, Mangochi</t>
  </si>
  <si>
    <t>RBM</t>
  </si>
  <si>
    <t>RBM Salima Cottage</t>
  </si>
  <si>
    <t>Sydney Chiwalo</t>
  </si>
  <si>
    <t>0994483116/0994483116</t>
  </si>
  <si>
    <t>Box 30063, Lilongwe 3</t>
  </si>
  <si>
    <t>Lake Malawi</t>
  </si>
  <si>
    <t>Lilongwe Water Board</t>
  </si>
  <si>
    <t>LWB HQ, Area 3, Off Likuni Road</t>
  </si>
  <si>
    <t>Gawachalo Nyondo</t>
  </si>
  <si>
    <t>madzi@lwb.mw</t>
  </si>
  <si>
    <t>Box 96, Lilongwe</t>
  </si>
  <si>
    <t>Lilongwe River</t>
  </si>
  <si>
    <t>Public</t>
  </si>
  <si>
    <t>Lilongwe City Council</t>
  </si>
  <si>
    <t>Fortunate Kayira</t>
  </si>
  <si>
    <t>info@llc.mw</t>
  </si>
  <si>
    <t>Box 30396, Lilongwe</t>
  </si>
  <si>
    <t>Tsabango 1</t>
  </si>
  <si>
    <t>Mtandire Block 16</t>
  </si>
  <si>
    <t>Mtandire Block 14</t>
  </si>
  <si>
    <t>Mtandire Block 15</t>
  </si>
  <si>
    <t>Mtuwa</t>
  </si>
  <si>
    <t>Sese, John Block 9</t>
  </si>
  <si>
    <t>Sese, Kalumba</t>
  </si>
  <si>
    <t>Area 36 Phwetekere, Tumbwe</t>
  </si>
  <si>
    <t>Area 36 Phwetekere, Chivundule</t>
  </si>
  <si>
    <t>Mtsiriza, Chilota Ward</t>
  </si>
  <si>
    <t>Mtsiriza, Malata Ward</t>
  </si>
  <si>
    <t>Mtsiriza, Maxwell Ward</t>
  </si>
  <si>
    <t>Chinsapo 1, Block 4</t>
  </si>
  <si>
    <t>Chinsapo 1, Block 10</t>
  </si>
  <si>
    <t>FILE</t>
  </si>
  <si>
    <t>Expired date</t>
  </si>
  <si>
    <t>name of waterway where discharge occur</t>
  </si>
  <si>
    <t>Means of discharge</t>
  </si>
  <si>
    <t>Nature of discharge</t>
  </si>
  <si>
    <t>Name of relevant discharge chemical content of water</t>
  </si>
  <si>
    <t>Frequency and capacity of dicsharge</t>
  </si>
  <si>
    <t>Land related to discharge</t>
  </si>
  <si>
    <t>Significant changes to status of the the permit</t>
  </si>
  <si>
    <t>Revelant condition attached to the permit</t>
  </si>
  <si>
    <t>WRA/ 645</t>
  </si>
  <si>
    <t>Lotus (Africa) LTD (LAL)</t>
  </si>
  <si>
    <t xml:space="preserve">Kayelekela </t>
  </si>
  <si>
    <t>John Mwenelupembe</t>
  </si>
  <si>
    <t>NA</t>
  </si>
  <si>
    <t>P/Bag 32,Lilongwe</t>
  </si>
  <si>
    <t>T.E 1/2014</t>
  </si>
  <si>
    <t>NWRA</t>
  </si>
  <si>
    <t>Sere River</t>
  </si>
  <si>
    <t>Treated rainfall runoff and process water</t>
  </si>
  <si>
    <t>Urenium, COD, pH, Arsenic, DO, Alpha emiiters, Sulphate , TDS</t>
  </si>
  <si>
    <t>Daily</t>
  </si>
  <si>
    <t>none</t>
  </si>
  <si>
    <t>Various</t>
  </si>
  <si>
    <t>YES</t>
  </si>
  <si>
    <t>WRA/1238</t>
  </si>
  <si>
    <t>Matope Fish Farm</t>
  </si>
  <si>
    <t>Mzedi farm</t>
  </si>
  <si>
    <t>1871093/1870049/1870378</t>
  </si>
  <si>
    <t>Box 30494</t>
  </si>
  <si>
    <t>DL1/2017</t>
  </si>
  <si>
    <t xml:space="preserve">Shire River </t>
  </si>
  <si>
    <t>Trade effluent &amp; Surface water sewer</t>
  </si>
  <si>
    <t>NO</t>
  </si>
  <si>
    <t>WRA/786</t>
  </si>
  <si>
    <t>Cattle Fedlot Company LTD</t>
  </si>
  <si>
    <t>Nchalo</t>
  </si>
  <si>
    <t>P.O.Box 86</t>
  </si>
  <si>
    <t>Chikwawa</t>
  </si>
  <si>
    <t>D.L 4/2017</t>
  </si>
  <si>
    <t xml:space="preserve">Wastewater from Irrigation drainage </t>
  </si>
  <si>
    <t>BOD, COD, pH, DO, TSS</t>
  </si>
  <si>
    <t>None</t>
  </si>
  <si>
    <t>WRA/1315</t>
  </si>
  <si>
    <t>National Oil Compnay of Malawi</t>
  </si>
  <si>
    <t>Lilongwe Depot</t>
  </si>
  <si>
    <t>P/Bag 370</t>
  </si>
  <si>
    <t>Area 50</t>
  </si>
  <si>
    <t>DL/TE/1/2021</t>
  </si>
  <si>
    <t>Wastewater during cleaning and accidental spillage</t>
  </si>
  <si>
    <t>rarely</t>
  </si>
  <si>
    <t>Ground</t>
  </si>
  <si>
    <t>WRA/1316</t>
  </si>
  <si>
    <t>Blantyre Depot</t>
  </si>
  <si>
    <t>Blantyre Deport</t>
  </si>
  <si>
    <t>DL/TE/2/2021</t>
  </si>
  <si>
    <t xml:space="preserve">Mzuzu Depot </t>
  </si>
  <si>
    <t>Mzuzu Depot</t>
  </si>
  <si>
    <t>DL/TE/4/2021</t>
  </si>
  <si>
    <t>TE/NB/23</t>
  </si>
  <si>
    <t xml:space="preserve">Chombe Rubber Estate </t>
  </si>
  <si>
    <t xml:space="preserve">NkhataBay </t>
  </si>
  <si>
    <t>Box 31, Nkhatabay</t>
  </si>
  <si>
    <t>Nkhatabay</t>
  </si>
  <si>
    <t>NkhataBay</t>
  </si>
  <si>
    <t>TE.32/82</t>
  </si>
  <si>
    <t>Lilezi Stream</t>
  </si>
  <si>
    <t>Discharge of wastewater &amp; effluent</t>
  </si>
  <si>
    <t>TE/NB/20</t>
  </si>
  <si>
    <t xml:space="preserve">Vizara Rubber Estate </t>
  </si>
  <si>
    <t>0881057160/0999704151</t>
  </si>
  <si>
    <t>TE.22/79</t>
  </si>
  <si>
    <t>Oxidation pond</t>
  </si>
  <si>
    <t>Trade effleunt from industrial process of rubber</t>
  </si>
  <si>
    <t>TE/TH/27</t>
  </si>
  <si>
    <t>Conforzi Plantation LTD</t>
  </si>
  <si>
    <t>Thoyo</t>
  </si>
  <si>
    <t>Box 1, Thyolo</t>
  </si>
  <si>
    <t>TE.4/85</t>
  </si>
  <si>
    <t>Ponds through oil trap</t>
  </si>
  <si>
    <t>TE/20/80</t>
  </si>
  <si>
    <t>Nakhambe Stream</t>
  </si>
  <si>
    <t>TE/M/35</t>
  </si>
  <si>
    <t>Smallholder Tea Company LTD</t>
  </si>
  <si>
    <t>Mulanje</t>
  </si>
  <si>
    <t>Box 135, Mulanje</t>
  </si>
  <si>
    <t>TE.1/85</t>
  </si>
  <si>
    <t>ponds</t>
  </si>
  <si>
    <t>TE.D/39</t>
  </si>
  <si>
    <t xml:space="preserve">Ethanol Company </t>
  </si>
  <si>
    <t>Dwangwa</t>
  </si>
  <si>
    <t>Box 50, Dwangwa</t>
  </si>
  <si>
    <t>Nkhotakhota</t>
  </si>
  <si>
    <t>DL 1/2009</t>
  </si>
  <si>
    <t>Industrial wastewater from ethanol processing factory</t>
  </si>
  <si>
    <t>TE/B/32 (WRA/57)</t>
  </si>
  <si>
    <t>Illovo Sugar (Malawi) LTD Nchalo</t>
  </si>
  <si>
    <t>P/Bag 50, Blantyre</t>
  </si>
  <si>
    <t>TE.17/79</t>
  </si>
  <si>
    <t>Oxidation ponds</t>
  </si>
  <si>
    <t>Wastewater and effluent</t>
  </si>
  <si>
    <t>TE 2/2003</t>
  </si>
  <si>
    <t>Shire River</t>
  </si>
  <si>
    <t>TE/KK/21</t>
  </si>
  <si>
    <t xml:space="preserve">Illovo Dwangwa Estate </t>
  </si>
  <si>
    <t>Box 46, Dwangwa</t>
  </si>
  <si>
    <t>Bwangwa</t>
  </si>
  <si>
    <t>TE.11/86</t>
  </si>
  <si>
    <t>Irrigation Ponds</t>
  </si>
  <si>
    <t>wastewater or effluent</t>
  </si>
  <si>
    <t>TE/L/9</t>
  </si>
  <si>
    <t>Constintini Company LTD (1985)</t>
  </si>
  <si>
    <t>Area 4</t>
  </si>
  <si>
    <t>Brian Constintini</t>
  </si>
  <si>
    <t>Box 40, Lilongwe</t>
  </si>
  <si>
    <t>TE.5/87</t>
  </si>
  <si>
    <t>waste or efflents into Liiongwe River through sandbed</t>
  </si>
  <si>
    <t>TE/M/28</t>
  </si>
  <si>
    <t>Eastern Produce Malawi Ltd (Esparanza Estate)</t>
  </si>
  <si>
    <t>Julius</t>
  </si>
  <si>
    <t>Box 16, mulanje</t>
  </si>
  <si>
    <t>TE.4/86</t>
  </si>
  <si>
    <t>Eastern Produce Malawi Ltd (Lauderdale Estate)</t>
  </si>
  <si>
    <t>Box 6, Mulanje</t>
  </si>
  <si>
    <t>TE.12/89</t>
  </si>
  <si>
    <t>TE/TH/29</t>
  </si>
  <si>
    <t>Eastern Produce Malawi Ltd (Kasembereka Estate)</t>
  </si>
  <si>
    <t>Box 29, Thyolo</t>
  </si>
  <si>
    <t>TE.11/53</t>
  </si>
  <si>
    <t xml:space="preserve">Ponds </t>
  </si>
  <si>
    <t>Eastern Produce Malawi Ltd (Makwasa Estate)</t>
  </si>
  <si>
    <t>Box 3, Thyolo</t>
  </si>
  <si>
    <t>TE.11/29</t>
  </si>
  <si>
    <t>Ponds</t>
  </si>
  <si>
    <t>TE/M/24</t>
  </si>
  <si>
    <t xml:space="preserve">Lujeri Tea Estate LTD </t>
  </si>
  <si>
    <t>Box 133, Mulanje</t>
  </si>
  <si>
    <t>TE.6/86</t>
  </si>
  <si>
    <t>Ponds through filter pits</t>
  </si>
  <si>
    <t>WRA/234 (TE/KK/21)</t>
  </si>
  <si>
    <t>Illovo Sugar (Malawi) LTD, (Dwangwa Sugar Estate (Ukasi)</t>
  </si>
  <si>
    <t>Zimba</t>
  </si>
  <si>
    <t>S.E 1/2007</t>
  </si>
  <si>
    <t xml:space="preserve">Domestic sewage </t>
  </si>
  <si>
    <t>Illovo Sugar (Malawi) LTD, (Dwangwa Sugar Estate (Kasasa)</t>
  </si>
  <si>
    <t>S.E 12/2007</t>
  </si>
  <si>
    <t>Illovo Sugar (Malawi) LTD, (Dwangwa Sugar Estate (Tractor Pool)</t>
  </si>
  <si>
    <t>S.E 11/2007</t>
  </si>
  <si>
    <t>Illovo Sugar (Malawi) LTD, (Dwangwa Sugar Estate (Dander)</t>
  </si>
  <si>
    <t>TE 1/2011</t>
  </si>
  <si>
    <t>Industrial effluent</t>
  </si>
  <si>
    <t>Yes volume modified</t>
  </si>
  <si>
    <t>Illovo Sugar (Malawi) LTD, (Dwangwa Sugar Estate (Matiki)</t>
  </si>
  <si>
    <t>S.E10/2007</t>
  </si>
  <si>
    <t>Oxidation Ponds</t>
  </si>
  <si>
    <t>Illovo Sugar (Malawi) LTD, (Dwangwa Sugar Estate (Central 3&amp;4)</t>
  </si>
  <si>
    <t>S.E9/2007</t>
  </si>
  <si>
    <t>Illovo Sugar (Malawi) LTD, (Dwangwa Sugar Estate (central 2)</t>
  </si>
  <si>
    <t>S.E7/2007</t>
  </si>
  <si>
    <t>Illovo Sugar (Malawi) LTD, (Dwangwa Sugar Estate (Roberts)</t>
  </si>
  <si>
    <t>S.E6/2007</t>
  </si>
  <si>
    <t>Illovo Sugar (Malawi) LTD, (Dwangwa Sugar Estate (Nyavuu)</t>
  </si>
  <si>
    <t>S.E4/2007</t>
  </si>
  <si>
    <t>Illovo Sugar (Malawi) LTD, (Dwangwa Sugar Estate (Chisita)</t>
  </si>
  <si>
    <t>S.E3/2007</t>
  </si>
  <si>
    <t>Illovo Sugar (Malawi) LTD, (Dwangwa Sugar Estate (Chitowe)</t>
  </si>
  <si>
    <t>S.E2/2007</t>
  </si>
  <si>
    <t>S.E8/2007</t>
  </si>
  <si>
    <t>Illovo Sugar (Malawi) LTD, (Dwangwa Sugar Estate (Bana)</t>
  </si>
  <si>
    <t>S.E5/2007</t>
  </si>
  <si>
    <t>WRA/234 (TE/BT/65)</t>
  </si>
  <si>
    <t>T.E 3/2003</t>
  </si>
  <si>
    <t xml:space="preserve">Channel into cane fields </t>
  </si>
  <si>
    <t>Diluted industrial wastewater</t>
  </si>
  <si>
    <t xml:space="preserve">TE.4/1986 </t>
  </si>
  <si>
    <t>T.E 4/1986</t>
  </si>
  <si>
    <t>Channel  into stream</t>
  </si>
  <si>
    <t>Wastewater from cleaning of equipment and Tea factory</t>
  </si>
  <si>
    <t xml:space="preserve">TE.5/1986 </t>
  </si>
  <si>
    <t>T.E 5/1986</t>
  </si>
  <si>
    <t>Channel into stream</t>
  </si>
  <si>
    <t>TE.6/1987</t>
  </si>
  <si>
    <t>T.E 6/1986</t>
  </si>
  <si>
    <t>TE/MZ/EK/001</t>
  </si>
  <si>
    <t>Tropha Estates LTD, Kaweche Estate (Permit was cancelled: Verification required if the applicant paid cancellation fee)</t>
  </si>
  <si>
    <t>Ekwendeni</t>
  </si>
  <si>
    <t>Box 45, Ekwendeni</t>
  </si>
  <si>
    <t>Ekwendani</t>
  </si>
  <si>
    <t>T.E.3/2014</t>
  </si>
  <si>
    <t>Wastewater from coffee processing</t>
  </si>
  <si>
    <t>TE/MZU/64</t>
  </si>
  <si>
    <t>Carlsberg Malawi LTD</t>
  </si>
  <si>
    <t>Luwinga</t>
  </si>
  <si>
    <t>Box 203, Mzuzu 2</t>
  </si>
  <si>
    <t>T.E.1/2003</t>
  </si>
  <si>
    <t>Activited sludge</t>
  </si>
  <si>
    <t>TE/TH/26</t>
  </si>
  <si>
    <t>Naming'omba Tea Estates Ltd</t>
  </si>
  <si>
    <t>Box 2, Thyolo</t>
  </si>
  <si>
    <t>TE 27/1981</t>
  </si>
  <si>
    <t>Channel into a stream</t>
  </si>
  <si>
    <t>Naming'omba Stream</t>
  </si>
  <si>
    <t>WRA/1264</t>
  </si>
  <si>
    <t>Corran Farming LTD</t>
  </si>
  <si>
    <t>Namakoma Village, TA Nankhuma</t>
  </si>
  <si>
    <t>Ralph Henserson</t>
  </si>
  <si>
    <t>999962722/994408196</t>
  </si>
  <si>
    <t>ralpha.henderson@corranfarming.com</t>
  </si>
  <si>
    <t>Box 5247, Limbe</t>
  </si>
  <si>
    <t>Nakoma Village</t>
  </si>
  <si>
    <t>DL 5/2017</t>
  </si>
  <si>
    <t>Earth Dam wholly contained</t>
  </si>
  <si>
    <t>Wastewater from cleaning of crocodile pens</t>
  </si>
  <si>
    <t>WRA/TE/LL/001</t>
  </si>
  <si>
    <t>Coca-Cola Beverages LTD</t>
  </si>
  <si>
    <t>Box 5133</t>
  </si>
  <si>
    <t>TE 4/2013</t>
  </si>
  <si>
    <t>22/09/2018</t>
  </si>
  <si>
    <t>23/09/2013</t>
  </si>
  <si>
    <t>Sewerage</t>
  </si>
  <si>
    <t>Industrial wastewater</t>
  </si>
  <si>
    <t>WRA/2005</t>
  </si>
  <si>
    <t>JTI Leaf Malawi</t>
  </si>
  <si>
    <t>Kanengo</t>
  </si>
  <si>
    <t>Box 40012</t>
  </si>
  <si>
    <t>TE1/2018</t>
  </si>
  <si>
    <t>Not specified</t>
  </si>
  <si>
    <t>Wastewater from Tobacco procesing factory</t>
  </si>
  <si>
    <t>WRA/14</t>
  </si>
  <si>
    <t>Presscane LTD</t>
  </si>
  <si>
    <t>Box 236, Chikwawa</t>
  </si>
  <si>
    <t>DL/TE/6/2021</t>
  </si>
  <si>
    <t>wastewater from ehtanol procesing factory</t>
  </si>
  <si>
    <t>Eastern Produce Malawi Ltd (Ruo Factory)</t>
  </si>
  <si>
    <t>Box 53, Mulanje</t>
  </si>
  <si>
    <t>DL/TE/10/2021</t>
  </si>
  <si>
    <t>29/6/2023</t>
  </si>
  <si>
    <t>Wastewater from cleaning of tea processing factory</t>
  </si>
  <si>
    <t>Eastern Produce Malawi Ltd (Chisamba Factory)</t>
  </si>
  <si>
    <t>DL /TE/11/2021</t>
  </si>
  <si>
    <t>Eastern Produce Malawi Ltd (Limbuli Factory)</t>
  </si>
  <si>
    <t>DL/TE/12/2021</t>
  </si>
  <si>
    <t>Eastern Produce Malawi Ltd (Mianga Factory)</t>
  </si>
  <si>
    <t>DL/TE/15/2021</t>
  </si>
  <si>
    <t xml:space="preserve">WRA/ 1490                       </t>
  </si>
  <si>
    <t xml:space="preserve">Mzuzu University </t>
  </si>
  <si>
    <t>P/Bag 201, Luwinga</t>
  </si>
  <si>
    <t>DL /TE/16/2021</t>
  </si>
  <si>
    <t>WRA/</t>
  </si>
  <si>
    <t xml:space="preserve">Capital Oil Refining Industries </t>
  </si>
  <si>
    <t>Chirimba Industrial site</t>
  </si>
  <si>
    <t>Box 2826, Blantyre</t>
  </si>
  <si>
    <t>Chirimba</t>
  </si>
  <si>
    <t xml:space="preserve">Channel </t>
  </si>
  <si>
    <t xml:space="preserve">pre-treated Oil processing wastewater </t>
  </si>
  <si>
    <t>T.E/22/79</t>
  </si>
  <si>
    <t>Anaerobic ponds</t>
  </si>
  <si>
    <t>TE/16/2011</t>
  </si>
  <si>
    <t>TE/TO/30</t>
  </si>
  <si>
    <t>Eastern Produce Malawi Ltd (Gotha Macademia Estate)</t>
  </si>
  <si>
    <t>T.E/28/81</t>
  </si>
  <si>
    <t>Kwakwasi River</t>
  </si>
  <si>
    <t>Channel</t>
  </si>
  <si>
    <t>Wastewater from Macademia processing</t>
  </si>
  <si>
    <t>SE/L/19</t>
  </si>
  <si>
    <t xml:space="preserve">Kamuzu International Airport </t>
  </si>
  <si>
    <t>Lumbadzi</t>
  </si>
  <si>
    <t>Box 30311</t>
  </si>
  <si>
    <t>S.E/16/1981</t>
  </si>
  <si>
    <t>Lumbadzi River</t>
  </si>
  <si>
    <t>Sub soil then into Lumbadzi River</t>
  </si>
  <si>
    <t>chemical effluent and general waste</t>
  </si>
  <si>
    <t>Nasonia Estate LTD</t>
  </si>
  <si>
    <t>TE/27/81</t>
  </si>
  <si>
    <t>29/06/1983</t>
  </si>
  <si>
    <t>30/6/1981</t>
  </si>
  <si>
    <t>Piped to aerobic and anaerobic ponds</t>
  </si>
  <si>
    <t>Wastewater from cleaning macademia nuts factory premises</t>
  </si>
  <si>
    <t>SE</t>
  </si>
  <si>
    <t>Premium Tobacco Processing</t>
  </si>
  <si>
    <t>Box 40075, Kenango</t>
  </si>
  <si>
    <t xml:space="preserve">Factory, Domestic, sanitary wastewater </t>
  </si>
  <si>
    <t>TE/12/56</t>
  </si>
  <si>
    <t>Trogon Trading Pvt LTD (connected to Liwonde sewerline)</t>
  </si>
  <si>
    <t>Machinga</t>
  </si>
  <si>
    <t>Box 138</t>
  </si>
  <si>
    <t>Tanney effluent discharged into public sewer line</t>
  </si>
  <si>
    <t>Mount Meru Millers LTD</t>
  </si>
  <si>
    <t>Box 2253</t>
  </si>
  <si>
    <t>DE 1/2020</t>
  </si>
  <si>
    <t>30/03/2022</t>
  </si>
  <si>
    <t xml:space="preserve">Oil and soap waste from factories </t>
  </si>
  <si>
    <t>WRA/81</t>
  </si>
  <si>
    <t>Lilongwe Water Board (LWB)</t>
  </si>
  <si>
    <t>Area3</t>
  </si>
  <si>
    <t>P/Bag 96</t>
  </si>
  <si>
    <t>Area 3</t>
  </si>
  <si>
    <t>DL 2/2018</t>
  </si>
  <si>
    <t>31/8/2020</t>
  </si>
  <si>
    <t>Lagoon</t>
  </si>
  <si>
    <t xml:space="preserve">Wastewater from water utility treatment plant </t>
  </si>
  <si>
    <t>WRA/57</t>
  </si>
  <si>
    <t>Illovo Sugar (Malawi) LTD Nchalo Estate</t>
  </si>
  <si>
    <t>Box 50, Blantyre</t>
  </si>
  <si>
    <t>Channel into Shire River</t>
  </si>
  <si>
    <t xml:space="preserve">wastewater or effluent </t>
  </si>
  <si>
    <t>Lujeri Tea Estate LTD (Sayama Estate)</t>
  </si>
  <si>
    <t>TE 4/1986</t>
  </si>
  <si>
    <t>TE 5/1986</t>
  </si>
  <si>
    <t>Lujeri Tea Estate LTD (Bloomfield Estate)</t>
  </si>
  <si>
    <t>TE 6/1986</t>
  </si>
  <si>
    <t>WRA/1031</t>
  </si>
  <si>
    <t>Chibuku Products LTD</t>
  </si>
  <si>
    <t>Chibuku Factory - Mzuzu</t>
  </si>
  <si>
    <t>Box 138, Mzuzu</t>
  </si>
  <si>
    <t>TE 2/1991</t>
  </si>
  <si>
    <t>22/12/1993</t>
  </si>
  <si>
    <t>23/12/1991</t>
  </si>
  <si>
    <t>Unnamed stream</t>
  </si>
  <si>
    <t>Factory effleunt from opaque beer processing and cleaning</t>
  </si>
  <si>
    <t>Roberts</t>
  </si>
  <si>
    <t>Box 180, Lilongwe</t>
  </si>
  <si>
    <t>Roberts/Kanengo</t>
  </si>
  <si>
    <t>TE 11/1979</t>
  </si>
  <si>
    <t>WRA/TE/BT/001</t>
  </si>
  <si>
    <t>Blantyre City Council (BCC) Limbe Wastewater Treatment Plant -pond 8</t>
  </si>
  <si>
    <t>P/Bag 67</t>
  </si>
  <si>
    <t>DL /TE/25/2021</t>
  </si>
  <si>
    <t>Treated domestic wastewater and factory effluent</t>
  </si>
  <si>
    <t>Blantyre City Council (BCC) Limbe Wastewater Treatment Plant -pond 4</t>
  </si>
  <si>
    <t>DL /TE/24/2021</t>
  </si>
  <si>
    <t>Blantyre City Council (BCC) Limbe Wastewater Treatment Plant -pond 16</t>
  </si>
  <si>
    <t>DL /TE/23/2021</t>
  </si>
  <si>
    <t>Blantyre City Council (BCC) Limbe Wastewater Treatment Plant -pond 12</t>
  </si>
  <si>
    <t>DL /TE/22/2021</t>
  </si>
  <si>
    <t>Blantyre City Council (BCC) Soche (Zingwangwa)-Sludge pump</t>
  </si>
  <si>
    <t>DL /TE/19/2021</t>
  </si>
  <si>
    <t>Blantyre City Council (BCC) Soche (Zingwangwa)-Sand Filters</t>
  </si>
  <si>
    <t>DL /TE/18/2021</t>
  </si>
  <si>
    <t>Blantyre City Council (BCC) Soche (Manase)-Pond 3</t>
  </si>
  <si>
    <t>DL /TE/21/2021</t>
  </si>
  <si>
    <t>Blantyre City Council (BCC) Soche (Manase)-Micro-Strainer</t>
  </si>
  <si>
    <t>DL /TE/20/2021</t>
  </si>
  <si>
    <t xml:space="preserve">Shire Lodge </t>
  </si>
  <si>
    <t>Liwonde</t>
  </si>
  <si>
    <t>Box 133 Liwonde</t>
  </si>
  <si>
    <t>TE3/2018</t>
  </si>
  <si>
    <t xml:space="preserve">Storm water from rooftop </t>
  </si>
  <si>
    <t>WRA/1033</t>
  </si>
  <si>
    <t xml:space="preserve">Malawi Mangoes Operation LTD </t>
  </si>
  <si>
    <t>Box 499, Salima</t>
  </si>
  <si>
    <t>DL 3/2017</t>
  </si>
  <si>
    <t>Tarpaulin -lined pond</t>
  </si>
  <si>
    <t>Wastewater from fruit processing and cleaning factory</t>
  </si>
  <si>
    <t>WRA/20</t>
  </si>
  <si>
    <t>Lujeri Tea Estate LTD Nchima Estate</t>
  </si>
  <si>
    <t>Box 52, Thyolo</t>
  </si>
  <si>
    <t>TE 1/2018</t>
  </si>
  <si>
    <t>WRA/66A/6</t>
  </si>
  <si>
    <t>Lilongwe City Council (Kanengo Wastewater Treating Plant)</t>
  </si>
  <si>
    <t>Civic office City Centre</t>
  </si>
  <si>
    <t>Box 30396, Lilongwe 3</t>
  </si>
  <si>
    <t>TE 6/2023</t>
  </si>
  <si>
    <t>27/04/2025</t>
  </si>
  <si>
    <t>28/04/2023</t>
  </si>
  <si>
    <t>NRWA</t>
  </si>
  <si>
    <t>Sewage and trade effluent</t>
  </si>
  <si>
    <t>Lilongwe City Council (Kauma Sewerage Treatment Plant)</t>
  </si>
  <si>
    <t>Box 30396, Lilongwe 4</t>
  </si>
  <si>
    <t>Kauma</t>
  </si>
  <si>
    <t>TE 7/2023</t>
  </si>
  <si>
    <t>Lilongwe City Council (Lumbadzi sewerage Treatment Plant)</t>
  </si>
  <si>
    <t>Box 30396, Lilongwe 5</t>
  </si>
  <si>
    <t>TE 8/2024</t>
  </si>
  <si>
    <t xml:space="preserve">Amani Industry LTD </t>
  </si>
  <si>
    <t>Box 5833, Blantyre</t>
  </si>
  <si>
    <t>DL/TE/26/2021</t>
  </si>
  <si>
    <t>Mudi River</t>
  </si>
  <si>
    <t>Drainage</t>
  </si>
  <si>
    <t>Excess water from reverse osmosis</t>
  </si>
  <si>
    <t>Malawi University of Science and technology (MUST)</t>
  </si>
  <si>
    <t>Goliati</t>
  </si>
  <si>
    <t>Box 5196, Limbe</t>
  </si>
  <si>
    <t>S.E.1/2020</t>
  </si>
  <si>
    <t>Sediment chamber</t>
  </si>
  <si>
    <t>pre-treated domestic sewage</t>
  </si>
  <si>
    <t>T.E/L/19B</t>
  </si>
  <si>
    <t>Limphase Sugar corporation LTD</t>
  </si>
  <si>
    <t>T.E/1/2013</t>
  </si>
  <si>
    <t>Effluent treatment plant</t>
  </si>
  <si>
    <t>waterwaste from sugar processing plant</t>
  </si>
  <si>
    <t>T.E/L/20</t>
  </si>
  <si>
    <t xml:space="preserve">SEBA Foods (MW) LTD </t>
  </si>
  <si>
    <t>Box 30403, Lilongwe 3</t>
  </si>
  <si>
    <t>T.E/3/2013</t>
  </si>
  <si>
    <t>Nankhaka River</t>
  </si>
  <si>
    <t>General wastewater from cleaning of cereal food procesing equipment</t>
  </si>
  <si>
    <t xml:space="preserve">Mota Engil, Neno Camp site 3.1 </t>
  </si>
  <si>
    <t>Neno Camp Site</t>
  </si>
  <si>
    <t>Box 200</t>
  </si>
  <si>
    <t>Neno</t>
  </si>
  <si>
    <t>T.E/5/2013</t>
  </si>
  <si>
    <t>Zambo Stream</t>
  </si>
  <si>
    <t>Oxidation pond then discharged into the environment</t>
  </si>
  <si>
    <t>WRA/5</t>
  </si>
  <si>
    <t>Kamuzu Barrack</t>
  </si>
  <si>
    <t>P/Bag 43, Lilongwe</t>
  </si>
  <si>
    <t>SE/18/82</t>
  </si>
  <si>
    <t>18/6/1991</t>
  </si>
  <si>
    <t>19/6/1989</t>
  </si>
  <si>
    <t>Waster water or effleunt</t>
  </si>
  <si>
    <t xml:space="preserve">Mvera Barrack Sewage </t>
  </si>
  <si>
    <t>Mvera</t>
  </si>
  <si>
    <t>Mvera Barrack</t>
  </si>
  <si>
    <t>SE/13/81</t>
  </si>
  <si>
    <t>Tukuta River</t>
  </si>
  <si>
    <t>Chirumba Barrack</t>
  </si>
  <si>
    <t>Chirumba</t>
  </si>
  <si>
    <t>SE/14/81</t>
  </si>
  <si>
    <t>WRA/(TE/L/7)</t>
  </si>
  <si>
    <t>P.V.H.O</t>
  </si>
  <si>
    <t>P/Bag 4, Mzuzu</t>
  </si>
  <si>
    <t>TE/13/79</t>
  </si>
  <si>
    <t>Lunyangwe River</t>
  </si>
  <si>
    <t>Storm water from runoff</t>
  </si>
  <si>
    <t>rainly season</t>
  </si>
  <si>
    <t>TE/12/79</t>
  </si>
  <si>
    <t>P/Bag 21, Lilongwe</t>
  </si>
  <si>
    <t>TE/14/79</t>
  </si>
  <si>
    <t>31/01/1990</t>
  </si>
  <si>
    <t>TE/MCH/58</t>
  </si>
  <si>
    <t>H &amp; W. Farming LTD</t>
  </si>
  <si>
    <t>Mirala Estate</t>
  </si>
  <si>
    <t>Box 7, Machinga</t>
  </si>
  <si>
    <t>TE 9/89</t>
  </si>
  <si>
    <t>Rentetion ponds</t>
  </si>
  <si>
    <t xml:space="preserve">Coffee effluent </t>
  </si>
  <si>
    <t>TE/L/62</t>
  </si>
  <si>
    <t>Napolo Ukana Breweries LTD : The company longer exist</t>
  </si>
  <si>
    <t>Kanengo Site</t>
  </si>
  <si>
    <t>Company no longer exist</t>
  </si>
  <si>
    <t>TE/MZ/58</t>
  </si>
  <si>
    <t xml:space="preserve">Kawalazi Estate Co. LTD </t>
  </si>
  <si>
    <t>Chikwina (North)</t>
  </si>
  <si>
    <t>Box 237, Mzuzu</t>
  </si>
  <si>
    <t>TE/2/85</t>
  </si>
  <si>
    <t>Soakway ponds</t>
  </si>
  <si>
    <t>Coffee effluent</t>
  </si>
  <si>
    <t>TE/B/13</t>
  </si>
  <si>
    <t>Lever Brothers Malawi LTD</t>
  </si>
  <si>
    <t>Box 5151, Limbe</t>
  </si>
  <si>
    <t>TE /1/93</t>
  </si>
  <si>
    <t>19/01/1995</t>
  </si>
  <si>
    <t>20/01/1994</t>
  </si>
  <si>
    <t>Limbe Stream</t>
  </si>
  <si>
    <t>Storm water</t>
  </si>
  <si>
    <t>TE/B/40</t>
  </si>
  <si>
    <t>Mr. M.B. Itimu</t>
  </si>
  <si>
    <t>Box 51000</t>
  </si>
  <si>
    <t>TE/30/81</t>
  </si>
  <si>
    <t>Soakway</t>
  </si>
  <si>
    <t>Coffee effleunt</t>
  </si>
  <si>
    <t>TE/L/36</t>
  </si>
  <si>
    <t>Toyota Malawi LTD (Mobile Motors), Lilongwe</t>
  </si>
  <si>
    <t>Box 316, Lilongwe</t>
  </si>
  <si>
    <t>TE/23/81</t>
  </si>
  <si>
    <t>15/8/1998</t>
  </si>
  <si>
    <t>15/8/1996</t>
  </si>
  <si>
    <t xml:space="preserve">oil from washing bay </t>
  </si>
  <si>
    <t>oil</t>
  </si>
  <si>
    <t>TE/B/51</t>
  </si>
  <si>
    <t>A.M.Hnderson and Sons</t>
  </si>
  <si>
    <t>TE/7/85</t>
  </si>
  <si>
    <t>Coffee discharge</t>
  </si>
  <si>
    <t>Not known</t>
  </si>
  <si>
    <t>TE/L/42 (WRA/11)</t>
  </si>
  <si>
    <t>Admarc Canning Company LTD</t>
  </si>
  <si>
    <t>Box 13, Mulanje</t>
  </si>
  <si>
    <t>TE/32/81</t>
  </si>
  <si>
    <t xml:space="preserve">Trade effluent </t>
  </si>
  <si>
    <t>WRA/32</t>
  </si>
  <si>
    <t>W and C. french (M) LTD</t>
  </si>
  <si>
    <t>The consent was not issued</t>
  </si>
  <si>
    <t>TE/TH/25</t>
  </si>
  <si>
    <t>Bandanga LTD</t>
  </si>
  <si>
    <t>Box 10, Thyolo</t>
  </si>
  <si>
    <t>TE/10/85</t>
  </si>
  <si>
    <t>22/8/1992</t>
  </si>
  <si>
    <t>22/8/1990</t>
  </si>
  <si>
    <t>Coffee factory effleunt</t>
  </si>
  <si>
    <t xml:space="preserve">Nkhoma Hospital </t>
  </si>
  <si>
    <t>Nkhoma</t>
  </si>
  <si>
    <t>General Secretary</t>
  </si>
  <si>
    <t>Box 45, Nkhoma</t>
  </si>
  <si>
    <t>SE/11/81</t>
  </si>
  <si>
    <t>19/6/83</t>
  </si>
  <si>
    <t>19/6/81</t>
  </si>
  <si>
    <t>Unknown</t>
  </si>
  <si>
    <t>wastewater from hospital</t>
  </si>
  <si>
    <t>unspecidfied</t>
  </si>
  <si>
    <t>TE/TH/31</t>
  </si>
  <si>
    <t>Makandi Tea Estate</t>
  </si>
  <si>
    <t>Box 5598, Limbe</t>
  </si>
  <si>
    <t>TE/1/86</t>
  </si>
  <si>
    <t>31/07/1988</t>
  </si>
  <si>
    <t>METSO used for cleaning factory floor area and production machinery</t>
  </si>
  <si>
    <t>METSO</t>
  </si>
  <si>
    <t>TE/1/98</t>
  </si>
  <si>
    <t xml:space="preserve">Msamba Estate </t>
  </si>
  <si>
    <t>Box 54, Zomba</t>
  </si>
  <si>
    <t>24/02/2001</t>
  </si>
  <si>
    <t>24/3/99</t>
  </si>
  <si>
    <t>Unspecified</t>
  </si>
  <si>
    <t>SE/LW/14</t>
  </si>
  <si>
    <t>Liwonde Town Council</t>
  </si>
  <si>
    <t>P/Bag 48, Liwonde</t>
  </si>
  <si>
    <t>SE/10/80</t>
  </si>
  <si>
    <t>18/02/1982</t>
  </si>
  <si>
    <t>18/02/1980</t>
  </si>
  <si>
    <t>Sewerage effluent</t>
  </si>
  <si>
    <t>TE/L/8</t>
  </si>
  <si>
    <t>Plot # 3545</t>
  </si>
  <si>
    <t>Box 768, Lilongwe</t>
  </si>
  <si>
    <t>TE 4/78</t>
  </si>
  <si>
    <t>23/08/2000</t>
  </si>
  <si>
    <t>24/08/1998</t>
  </si>
  <si>
    <t>Storm water containing oil and grease solvent</t>
  </si>
  <si>
    <t>oil and grease</t>
  </si>
  <si>
    <t>Makwasa Tea Estate LTD</t>
  </si>
  <si>
    <t>Makwasa</t>
  </si>
  <si>
    <t>Box 1. Makwasa</t>
  </si>
  <si>
    <t>TE/9/86</t>
  </si>
  <si>
    <t>unspecified</t>
  </si>
  <si>
    <t>SE/MZ/30</t>
  </si>
  <si>
    <t xml:space="preserve">Ekwendeni Hospital </t>
  </si>
  <si>
    <t>Box 19</t>
  </si>
  <si>
    <t>SE/2/91</t>
  </si>
  <si>
    <t xml:space="preserve">Hospital wastewater </t>
  </si>
  <si>
    <t>SE/KU/26</t>
  </si>
  <si>
    <t>Kasungu A.D.D</t>
  </si>
  <si>
    <t>Kasungu ADD Campus</t>
  </si>
  <si>
    <t>P/Bag 28, Kasungu</t>
  </si>
  <si>
    <t xml:space="preserve">Kasungu </t>
  </si>
  <si>
    <t>SE/9/89</t>
  </si>
  <si>
    <t>28/04/1996</t>
  </si>
  <si>
    <t>29/04/1994</t>
  </si>
  <si>
    <t>Stabilisation Ponds</t>
  </si>
  <si>
    <t>Sewage effleunt</t>
  </si>
  <si>
    <t>BOD</t>
  </si>
  <si>
    <t>SE/MZ/16</t>
  </si>
  <si>
    <t>St. Johns Hospital  : NOTE: Applicant was not given a consent to discharge sewage effluent : Need Inspection</t>
  </si>
  <si>
    <t>Box 18, Mzuzu</t>
  </si>
  <si>
    <t>TE/B/59</t>
  </si>
  <si>
    <t>Naminyanga Estate (Machinga)</t>
  </si>
  <si>
    <t>Box 572, Blantyre</t>
  </si>
  <si>
    <t>TE/2/90</t>
  </si>
  <si>
    <t>22/08/1992</t>
  </si>
  <si>
    <t>22/08/1990</t>
  </si>
  <si>
    <t xml:space="preserve">Coffee pulpery effluent </t>
  </si>
  <si>
    <t>Study Hawk International</t>
  </si>
  <si>
    <t xml:space="preserve"> Mbame Estate </t>
  </si>
  <si>
    <t>TE/13/89</t>
  </si>
  <si>
    <t>18/12/1991</t>
  </si>
  <si>
    <t>19/12/1989</t>
  </si>
  <si>
    <t>TE/B/55</t>
  </si>
  <si>
    <t xml:space="preserve">Sable farming Company LTD </t>
  </si>
  <si>
    <t>Mapanga Estate</t>
  </si>
  <si>
    <t>Box 51199, Limbe</t>
  </si>
  <si>
    <t>Mapanga</t>
  </si>
  <si>
    <t>TE/1/91</t>
  </si>
  <si>
    <t>28/02/1996</t>
  </si>
  <si>
    <t>Aerobic pond</t>
  </si>
  <si>
    <t xml:space="preserve">Coffee  effluent </t>
  </si>
  <si>
    <t>Chipale Estate</t>
  </si>
  <si>
    <t>TE/3/88</t>
  </si>
  <si>
    <t>28/02/1990</t>
  </si>
  <si>
    <t>TE/B/56</t>
  </si>
  <si>
    <t>TE/3/92</t>
  </si>
  <si>
    <t>TE/L/10</t>
  </si>
  <si>
    <t>Lilongwe Mechanic Development</t>
  </si>
  <si>
    <t>Box 289, Lilongwe</t>
  </si>
  <si>
    <t>TE/8/79</t>
  </si>
  <si>
    <t>24/08/1982</t>
  </si>
  <si>
    <t>25/08/1981</t>
  </si>
  <si>
    <t>TE/NCH/60</t>
  </si>
  <si>
    <t>Monfort Hospital</t>
  </si>
  <si>
    <t>Box 68, Nchalo</t>
  </si>
  <si>
    <t>TE/1/90</t>
  </si>
  <si>
    <t>Hospital wastewater</t>
  </si>
  <si>
    <t>TE/L/46</t>
  </si>
  <si>
    <t>M.C.D.C.D Project (Katete Farm)</t>
  </si>
  <si>
    <t>Applicant was not issued with  a consent to discharge permit</t>
  </si>
  <si>
    <t>TE/L/34</t>
  </si>
  <si>
    <t>Ahmed Aboobaker Malida( Lilongwe Panel Beaters)</t>
  </si>
  <si>
    <t>Permit was cancelled</t>
  </si>
  <si>
    <t>TE/TH/53</t>
  </si>
  <si>
    <t>British African Estate LTD Refer to file  TE/TH/29</t>
  </si>
  <si>
    <t>TE/MZU/47</t>
  </si>
  <si>
    <t>SmallHolder Coffee Authority</t>
  </si>
  <si>
    <t>Matipa Pulpery</t>
  </si>
  <si>
    <t>Box 230, Mzuzu</t>
  </si>
  <si>
    <t>TE 1/87</t>
  </si>
  <si>
    <t>Uzumara Pulpery</t>
  </si>
  <si>
    <t>TE 2/87</t>
  </si>
  <si>
    <t>Salawe Purpery Mzuzu</t>
  </si>
  <si>
    <t>TE 3/87</t>
  </si>
  <si>
    <t>Mphompha Purpery</t>
  </si>
  <si>
    <t>TE 4/87</t>
  </si>
  <si>
    <t xml:space="preserve">Usowoya Purpery </t>
  </si>
  <si>
    <t>TE 5/87</t>
  </si>
  <si>
    <t>Khanga Purpery</t>
  </si>
  <si>
    <t>TE 6/87</t>
  </si>
  <si>
    <t>Chikaka purpery</t>
  </si>
  <si>
    <t>TE 1/84</t>
  </si>
  <si>
    <t>Makeye Purpery</t>
  </si>
  <si>
    <t>TE 2/84</t>
  </si>
  <si>
    <t>Nchenanchema Purpery</t>
  </si>
  <si>
    <t>TE 5/84</t>
  </si>
  <si>
    <t>Vunguvungu Nchenanchema Purpery</t>
  </si>
  <si>
    <t>TE 6/84</t>
  </si>
  <si>
    <t>Kavuzi Purpery</t>
  </si>
  <si>
    <t>TE 7/84</t>
  </si>
  <si>
    <t>Chikwina Purpery</t>
  </si>
  <si>
    <t>TE 8/84</t>
  </si>
  <si>
    <t>Chigwere Purpery</t>
  </si>
  <si>
    <t>TE 9/84</t>
  </si>
  <si>
    <t>Chinsansu purpery</t>
  </si>
  <si>
    <t>TE 10/84</t>
  </si>
  <si>
    <t>Usingini Purpery</t>
  </si>
  <si>
    <t>TE 11/84</t>
  </si>
  <si>
    <t>Jinta Purpery</t>
  </si>
  <si>
    <t>TE 12/84</t>
  </si>
  <si>
    <t>Msese Purpery</t>
  </si>
  <si>
    <t>TE 13/84</t>
  </si>
  <si>
    <t>Kapita Purpery</t>
  </si>
  <si>
    <t>TE 14/84</t>
  </si>
  <si>
    <t>TE 15/84</t>
  </si>
  <si>
    <t>Chisi Purpery</t>
  </si>
  <si>
    <t>TE 16/84</t>
  </si>
  <si>
    <t>Mphache Purpery</t>
  </si>
  <si>
    <t>TE 17/84</t>
  </si>
  <si>
    <t>Mweneye Purpery</t>
  </si>
  <si>
    <t>TE 18/84</t>
  </si>
  <si>
    <t>Chumba purpery</t>
  </si>
  <si>
    <t>TE 19/84</t>
  </si>
  <si>
    <t>Kamanda Purpery</t>
  </si>
  <si>
    <t>TE 20/84</t>
  </si>
  <si>
    <t>Katowo Purpery</t>
  </si>
  <si>
    <t>TE 3/84</t>
  </si>
  <si>
    <t>Chibula Purpery</t>
  </si>
  <si>
    <t>TE 4/84</t>
  </si>
  <si>
    <t>TE 21/84</t>
  </si>
  <si>
    <t>WRA/223</t>
  </si>
  <si>
    <t>MALDECO LTD</t>
  </si>
  <si>
    <t>Box 45, Mangochi</t>
  </si>
  <si>
    <t>Koche</t>
  </si>
  <si>
    <t>DL 1/2005</t>
  </si>
  <si>
    <t>wastewater from fisheries</t>
  </si>
  <si>
    <t>WRA/438 (TE/M/35)</t>
  </si>
  <si>
    <t>Smallholder Tea Company . Muloza LTD</t>
  </si>
  <si>
    <t>Muloza</t>
  </si>
  <si>
    <t xml:space="preserve">Muloza </t>
  </si>
  <si>
    <t>TE/1/85</t>
  </si>
  <si>
    <t>channel</t>
  </si>
  <si>
    <t>effluent from tea processing</t>
  </si>
  <si>
    <t>TE/1/89</t>
  </si>
  <si>
    <t>SE/B/23</t>
  </si>
  <si>
    <t>I.D.A Education Project (ministry of Education)</t>
  </si>
  <si>
    <t>Monkey Bay Secondary School</t>
  </si>
  <si>
    <t>Box 315, Chichiri, BT 3</t>
  </si>
  <si>
    <t>MonkeyBay</t>
  </si>
  <si>
    <t>SE/3/90</t>
  </si>
  <si>
    <t>21/09/92</t>
  </si>
  <si>
    <t>22/09/90</t>
  </si>
  <si>
    <t>BOD and SS</t>
  </si>
  <si>
    <t>Chipoka Secondary School</t>
  </si>
  <si>
    <t>Chipoka</t>
  </si>
  <si>
    <t>SE/4/90</t>
  </si>
  <si>
    <t>17/12/92</t>
  </si>
  <si>
    <t>18/12/90</t>
  </si>
  <si>
    <t>Bangula Secondary School</t>
  </si>
  <si>
    <t>Bangula</t>
  </si>
  <si>
    <t>SE/4/92</t>
  </si>
  <si>
    <t>21/09/94</t>
  </si>
  <si>
    <t>22/09/92</t>
  </si>
  <si>
    <t>Ngabu Secondary School</t>
  </si>
  <si>
    <t>Ngabu</t>
  </si>
  <si>
    <t>SE/5/92</t>
  </si>
  <si>
    <t>Mayani Secondary School</t>
  </si>
  <si>
    <t>Mayani</t>
  </si>
  <si>
    <t>Dedza</t>
  </si>
  <si>
    <t>SE/3/92</t>
  </si>
  <si>
    <t>Malomo secondary School</t>
  </si>
  <si>
    <t>Malomo</t>
  </si>
  <si>
    <t>Ntchisi</t>
  </si>
  <si>
    <t>SE/2/92</t>
  </si>
  <si>
    <t>New Salima Secondary School</t>
  </si>
  <si>
    <t>SE/1/92</t>
  </si>
  <si>
    <t>Domasi TT College</t>
  </si>
  <si>
    <t>Domasi</t>
  </si>
  <si>
    <t>SE/2/90</t>
  </si>
  <si>
    <t>SE/8/89</t>
  </si>
  <si>
    <t>Kasungu TT College</t>
  </si>
  <si>
    <t>Kasunga</t>
  </si>
  <si>
    <t>SE/4/89</t>
  </si>
  <si>
    <t>Bembeke TT College</t>
  </si>
  <si>
    <t>Bembeke</t>
  </si>
  <si>
    <t>SE/3/89</t>
  </si>
  <si>
    <t>Mchinji Secondary School</t>
  </si>
  <si>
    <t>Mchinji</t>
  </si>
  <si>
    <t>SE/2/89</t>
  </si>
  <si>
    <t>TE/9/85</t>
  </si>
  <si>
    <t>Thyolo Planters Syndicate LTD</t>
  </si>
  <si>
    <t>Namikhwenya Estate</t>
  </si>
  <si>
    <t>Box 5200, Limbe</t>
  </si>
  <si>
    <t>19/10/94</t>
  </si>
  <si>
    <t>20/10/92</t>
  </si>
  <si>
    <t xml:space="preserve">Coffee effleunt </t>
  </si>
  <si>
    <t>SE/B/10</t>
  </si>
  <si>
    <t>Blantyre City Council</t>
  </si>
  <si>
    <t>Blantyre Civic office</t>
  </si>
  <si>
    <t>P/Bag 67, Blantyre</t>
  </si>
  <si>
    <t>SE/4/79</t>
  </si>
  <si>
    <t>17/12/1994</t>
  </si>
  <si>
    <t>18/12/1992</t>
  </si>
  <si>
    <t>Naperi Stream</t>
  </si>
  <si>
    <t>SE/5/79</t>
  </si>
  <si>
    <t>Chimwankhunda and Limbe Stream</t>
  </si>
  <si>
    <t>SE/33/79</t>
  </si>
  <si>
    <t>Likhubula River</t>
  </si>
  <si>
    <t>SE/3/79</t>
  </si>
  <si>
    <t>12960 (540 M3/hr)</t>
  </si>
  <si>
    <t>Domestic , Commercial and industrial effluent</t>
  </si>
  <si>
    <t>TE/L/41</t>
  </si>
  <si>
    <t xml:space="preserve">The central African Trasport Company </t>
  </si>
  <si>
    <t>The client stopped discharging effleunt into public waters</t>
  </si>
  <si>
    <t>SE/L/25</t>
  </si>
  <si>
    <t xml:space="preserve">Chief Avaition Officer </t>
  </si>
  <si>
    <t>Chileka Airpo Sewage Ponds</t>
  </si>
  <si>
    <t>P/Bag 322, Lilongwe 3</t>
  </si>
  <si>
    <t>Chileka Airport</t>
  </si>
  <si>
    <t>TE/7/89</t>
  </si>
  <si>
    <t>18/06/1991</t>
  </si>
  <si>
    <t>19/06/89</t>
  </si>
  <si>
    <t>Likhumbula Stream</t>
  </si>
  <si>
    <t>Sewage effluent, surface water sewer &amp; Tade effluent</t>
  </si>
  <si>
    <t>SE/L/22</t>
  </si>
  <si>
    <t>Natural Resources College</t>
  </si>
  <si>
    <t>The Principal</t>
  </si>
  <si>
    <t>Box 143, Lilongwe</t>
  </si>
  <si>
    <t>Soakaway</t>
  </si>
  <si>
    <t xml:space="preserve">Sewage </t>
  </si>
  <si>
    <t>SE/L/2</t>
  </si>
  <si>
    <t xml:space="preserve">Lilongwe Prison </t>
  </si>
  <si>
    <t>Maula</t>
  </si>
  <si>
    <t>Commissioner of Prisons</t>
  </si>
  <si>
    <t>Box 28, Zomba</t>
  </si>
  <si>
    <t>SE/1/88</t>
  </si>
  <si>
    <t>18/12/1990</t>
  </si>
  <si>
    <t>19/12/1988</t>
  </si>
  <si>
    <t>sewage effluent</t>
  </si>
  <si>
    <t>SE/9/80</t>
  </si>
  <si>
    <t xml:space="preserve">Kamuzu Academy </t>
  </si>
  <si>
    <t>Mtunthuma</t>
  </si>
  <si>
    <t>P/Bag 1, Mtunthama</t>
  </si>
  <si>
    <t>Mtunthama</t>
  </si>
  <si>
    <t>SE/B/20</t>
  </si>
  <si>
    <t>Malawai Housing Corporation</t>
  </si>
  <si>
    <t>Malawai Housing Corporation (lumbadzi)</t>
  </si>
  <si>
    <t>Box 414, Blantyre</t>
  </si>
  <si>
    <t>SE/17/71</t>
  </si>
  <si>
    <t xml:space="preserve">Sub soil </t>
  </si>
  <si>
    <t>WRB/9</t>
  </si>
  <si>
    <t>Sewage disposal Northern Region file</t>
  </si>
  <si>
    <t>SE/L/9</t>
  </si>
  <si>
    <t>Cold Storage, Box 575, Blantyre: Inspection required: Client was advised to connect to BCC sewer</t>
  </si>
  <si>
    <t>TE/B/49</t>
  </si>
  <si>
    <t>Mandala (Mpalanganga Estate): Permit longer valid</t>
  </si>
  <si>
    <t>TE/L/2</t>
  </si>
  <si>
    <t>Malawi Motors LTD</t>
  </si>
  <si>
    <t>Box 823, lilongwe</t>
  </si>
  <si>
    <t>TE/1/78</t>
  </si>
  <si>
    <t>Not determined</t>
  </si>
  <si>
    <t>Garage oils and storm water</t>
  </si>
  <si>
    <t>TE/L/43</t>
  </si>
  <si>
    <t>Scott Wlson Kirkpatrick &amp; Partners</t>
  </si>
  <si>
    <t>Box 154, Lilongwe</t>
  </si>
  <si>
    <t>Chirimba Industrial Estate</t>
  </si>
  <si>
    <t>TE/33/82</t>
  </si>
  <si>
    <t>21/09/84</t>
  </si>
  <si>
    <t>22/09/82</t>
  </si>
  <si>
    <t>TE/s/37</t>
  </si>
  <si>
    <t>Salima Canners</t>
  </si>
  <si>
    <t>Box 88, Salima</t>
  </si>
  <si>
    <t>TE/24/81</t>
  </si>
  <si>
    <t>French drains</t>
  </si>
  <si>
    <t>TE/L/17</t>
  </si>
  <si>
    <t>Stansfield Motors LTD : Permit cancelled</t>
  </si>
  <si>
    <t>Area 4, plot NR 4/268 &amp; 4/269</t>
  </si>
  <si>
    <t>Box 421, Lilongwe 3</t>
  </si>
  <si>
    <t>TE/3/90</t>
  </si>
  <si>
    <t>30/8/1992</t>
  </si>
  <si>
    <t>TE/B/45</t>
  </si>
  <si>
    <t>Mandala (Njuli Coffee Estate)</t>
  </si>
  <si>
    <t xml:space="preserve">Njuli Coffee Estate </t>
  </si>
  <si>
    <t>Box 49, Blantyre</t>
  </si>
  <si>
    <t>Njuli</t>
  </si>
  <si>
    <t>TE/35/82</t>
  </si>
  <si>
    <t>wastewater from tea processing</t>
  </si>
  <si>
    <t>Mandala (Chitakali Estate)</t>
  </si>
  <si>
    <t xml:space="preserve">Chitakali Estate </t>
  </si>
  <si>
    <t>Box 34, Mulanji</t>
  </si>
  <si>
    <t>Chitali</t>
  </si>
  <si>
    <t>TE/5/85</t>
  </si>
  <si>
    <t>TE/B/54</t>
  </si>
  <si>
    <t>GEM Company of Malawi LTD</t>
  </si>
  <si>
    <t>Chimwadzulu, Ntcheu</t>
  </si>
  <si>
    <t>Box 566, Blantyre</t>
  </si>
  <si>
    <t>Chimwadzulu</t>
  </si>
  <si>
    <t>TE/1/87</t>
  </si>
  <si>
    <t xml:space="preserve">waste water from processing minerals </t>
  </si>
  <si>
    <t>TE/KU/48</t>
  </si>
  <si>
    <t>General Farming Co LTD (Press Agriculture LTD): Permit cancelled</t>
  </si>
  <si>
    <t>TE/L/12</t>
  </si>
  <si>
    <t>Automotive Products LTD</t>
  </si>
  <si>
    <t>Off Mchinji Road Kaunda Filling Station</t>
  </si>
  <si>
    <t>Permit cancelled</t>
  </si>
  <si>
    <t>SE/L/8</t>
  </si>
  <si>
    <t>Ministry Of Health</t>
  </si>
  <si>
    <t>Mzuzu Central Hospital</t>
  </si>
  <si>
    <t>Box 30377, LL3</t>
  </si>
  <si>
    <t>SE/2/96</t>
  </si>
  <si>
    <t xml:space="preserve">Mchinji Hospital </t>
  </si>
  <si>
    <t>Mchinji Hospital</t>
  </si>
  <si>
    <t>SE/1/86</t>
  </si>
  <si>
    <t>18/6/1988</t>
  </si>
  <si>
    <t>19/6/1986</t>
  </si>
  <si>
    <t xml:space="preserve">Salima Hospital </t>
  </si>
  <si>
    <t>Salima Hospital</t>
  </si>
  <si>
    <t>SE/2/86</t>
  </si>
  <si>
    <t>SE/MZ/18</t>
  </si>
  <si>
    <t>Malawi Hotels LTD (Mzuzu)</t>
  </si>
  <si>
    <t>Box 284, Blantyre</t>
  </si>
  <si>
    <t>SE/15/81</t>
  </si>
  <si>
    <t>18/2/1982</t>
  </si>
  <si>
    <t>19/2/1981</t>
  </si>
  <si>
    <t>Septic tank</t>
  </si>
  <si>
    <t>SE/ZA/28</t>
  </si>
  <si>
    <t>University of Malawi (Chancellor College)</t>
  </si>
  <si>
    <t>Chancellor College</t>
  </si>
  <si>
    <t>Box 278, Zomba</t>
  </si>
  <si>
    <t>SE/1/91</t>
  </si>
  <si>
    <t>23/6/1993</t>
  </si>
  <si>
    <t>24/6/1991</t>
  </si>
  <si>
    <t>SE/11/89</t>
  </si>
  <si>
    <t>30/10/1991</t>
  </si>
  <si>
    <t>31/10/1989</t>
  </si>
  <si>
    <t>WRA/1506</t>
  </si>
  <si>
    <t>Speedys Food Industries LTD</t>
  </si>
  <si>
    <t>Isaac Katandala</t>
  </si>
  <si>
    <t>885841526/884033430</t>
  </si>
  <si>
    <t>info@speedy'smw.com</t>
  </si>
  <si>
    <t>Box 5626, Limbe</t>
  </si>
  <si>
    <t>D1/2022</t>
  </si>
  <si>
    <t>28/09/2024</t>
  </si>
  <si>
    <t>Momembedzi Stream</t>
  </si>
  <si>
    <t>effluent from Slaughting chicken</t>
  </si>
  <si>
    <t>D2/2022</t>
  </si>
  <si>
    <t>D3/2022</t>
  </si>
  <si>
    <t>D4/2022</t>
  </si>
  <si>
    <t>WRA/2018A</t>
  </si>
  <si>
    <t>Sunbird Livingstonia Beach</t>
  </si>
  <si>
    <t>SengaBay</t>
  </si>
  <si>
    <t>DL/2022</t>
  </si>
  <si>
    <t>Domestic effluent</t>
  </si>
  <si>
    <t>Illovo Nchalo Estate</t>
  </si>
  <si>
    <t>Mechanical Pool Village</t>
  </si>
  <si>
    <t>Private Bag 50 Blantyre</t>
  </si>
  <si>
    <t>TE/1/2023</t>
  </si>
  <si>
    <t xml:space="preserve">Domestic effluent channeled into maturation pond then discharged into a drain that flows into Shire River </t>
  </si>
  <si>
    <t xml:space="preserve">Lengwe </t>
  </si>
  <si>
    <t>TE/2/2023</t>
  </si>
  <si>
    <t>Domestic effluent channeled into maturation ponds that does not discharge into inland waters</t>
  </si>
  <si>
    <t>Alumenda</t>
  </si>
  <si>
    <t>TE/3/2023</t>
  </si>
  <si>
    <t>Domestic effluent channeled into maturation pond then discharged into a drain that flows into Shire River</t>
  </si>
  <si>
    <t>Kalulu</t>
  </si>
  <si>
    <t>TE/4/2023</t>
  </si>
  <si>
    <t>Nkombedzi</t>
  </si>
  <si>
    <t>TE/5/2023</t>
  </si>
  <si>
    <t>Domestic effluent channeled into maturation pond then discharged into a  drain that flows into Shire River</t>
  </si>
  <si>
    <t>Mwanza</t>
  </si>
  <si>
    <t>TE/6/2023</t>
  </si>
  <si>
    <t>Mlambe</t>
  </si>
  <si>
    <t>TE/7/2023</t>
  </si>
  <si>
    <t xml:space="preserve">Domestic effluent channeled into maturation ponds that does not discharge into inland waters </t>
  </si>
  <si>
    <t xml:space="preserve">Factory </t>
  </si>
  <si>
    <t>TE/8/2023</t>
  </si>
  <si>
    <t>Riverside</t>
  </si>
  <si>
    <t>TE/9/2023</t>
  </si>
  <si>
    <t>Mangulenje</t>
  </si>
  <si>
    <t>TE/10/2023</t>
  </si>
  <si>
    <t>WRA/458</t>
  </si>
  <si>
    <t>Raiply Malawi Limited</t>
  </si>
  <si>
    <t>Chikangwa</t>
  </si>
  <si>
    <t>TE/11/2023</t>
  </si>
  <si>
    <t xml:space="preserve">Wastewater from cleaning equipment in the factory floor Wastewater is wholly contained in ponds - exposed to evaporation </t>
  </si>
  <si>
    <t>WRA/1284</t>
  </si>
  <si>
    <t>Sovereign Services Limited</t>
  </si>
  <si>
    <t>TE/12/2023</t>
  </si>
  <si>
    <t xml:space="preserve">Wastewater coming from laboratory that tests and analyses rutile samples The water is recycled and then discharged into Lilongwe River </t>
  </si>
  <si>
    <t>Castel Malawi Brewery Limited</t>
  </si>
  <si>
    <t>TE/13/2023</t>
  </si>
  <si>
    <t>Trade effluent from beer processing factory. The effluent will be pretreated through wastewater treatment plant then released into the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</si>
</sst>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name val="Maiandra GD"/>
      <family val="2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name val="Maiandra GD"/>
      <family val="2"/>
    </font>
    <font>
      <sz val="12"/>
      <color rgb="FF000000"/>
      <name val="Maiandra GD"/>
      <family val="2"/>
    </font>
    <font>
      <u/>
      <sz val="12"/>
      <color theme="10"/>
      <name val="Aptos Narrow"/>
      <family val="2"/>
      <scheme val="minor"/>
    </font>
    <font>
      <vertAlign val="subscript"/>
      <sz val="12"/>
      <name val="Aptos Narrow"/>
      <family val="2"/>
      <scheme val="minor"/>
    </font>
    <font>
      <sz val="12"/>
      <name val="Goudy Old Style"/>
      <family val="1"/>
    </font>
    <font>
      <sz val="11"/>
      <color theme="1"/>
      <name val="Maiandra GD"/>
      <family val="2"/>
    </font>
    <font>
      <sz val="12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.5"/>
      <color rgb="FF000000"/>
      <name val="Maiandra GD"/>
      <family val="2"/>
    </font>
    <font>
      <b/>
      <sz val="11.5"/>
      <color rgb="FF000000"/>
      <name val="Maiandra GD"/>
      <family val="2"/>
    </font>
    <font>
      <sz val="11.5"/>
      <color theme="1"/>
      <name val="Maiandra GD"/>
      <family val="2"/>
    </font>
    <font>
      <sz val="10.5"/>
      <color theme="1"/>
      <name val="Maiandra G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1">
    <xf numFmtId="0" fontId="0" fillId="0" borderId="0" xfId="0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164" fontId="4" fillId="0" borderId="1" xfId="1" applyFont="1" applyFill="1" applyBorder="1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2" fontId="7" fillId="0" borderId="1" xfId="0" applyNumberFormat="1" applyFont="1" applyBorder="1" applyAlignment="1">
      <alignment horizontal="left"/>
    </xf>
    <xf numFmtId="0" fontId="9" fillId="0" borderId="1" xfId="2" applyFont="1" applyBorder="1" applyAlignment="1"/>
    <xf numFmtId="14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1" fillId="0" borderId="1" xfId="2" applyFont="1" applyBorder="1" applyAlignment="1"/>
    <xf numFmtId="2" fontId="10" fillId="0" borderId="1" xfId="0" applyNumberFormat="1" applyFont="1" applyBorder="1" applyAlignment="1">
      <alignment horizontal="left"/>
    </xf>
    <xf numFmtId="0" fontId="2" fillId="0" borderId="0" xfId="0" applyFont="1"/>
    <xf numFmtId="0" fontId="12" fillId="0" borderId="1" xfId="0" applyFont="1" applyBorder="1" applyAlignment="1">
      <alignment horizontal="left"/>
    </xf>
    <xf numFmtId="0" fontId="13" fillId="0" borderId="1" xfId="2" applyFont="1" applyFill="1" applyBorder="1" applyAlignment="1"/>
    <xf numFmtId="2" fontId="12" fillId="0" borderId="1" xfId="0" applyNumberFormat="1" applyFont="1" applyBorder="1" applyAlignment="1">
      <alignment horizontal="left"/>
    </xf>
    <xf numFmtId="0" fontId="9" fillId="0" borderId="1" xfId="2" applyFont="1" applyBorder="1" applyAlignment="1">
      <alignment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2" fontId="7" fillId="2" borderId="1" xfId="0" applyNumberFormat="1" applyFont="1" applyFill="1" applyBorder="1" applyAlignment="1">
      <alignment horizontal="left"/>
    </xf>
    <xf numFmtId="0" fontId="6" fillId="2" borderId="0" xfId="0" applyFont="1" applyFill="1"/>
    <xf numFmtId="14" fontId="10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9" fillId="3" borderId="1" xfId="2" applyFont="1" applyFill="1" applyBorder="1" applyAlignment="1"/>
    <xf numFmtId="2" fontId="7" fillId="3" borderId="1" xfId="0" applyNumberFormat="1" applyFont="1" applyFill="1" applyBorder="1" applyAlignment="1">
      <alignment horizontal="left"/>
    </xf>
    <xf numFmtId="0" fontId="6" fillId="3" borderId="0" xfId="0" applyFont="1" applyFill="1"/>
    <xf numFmtId="0" fontId="7" fillId="0" borderId="1" xfId="0" applyFont="1" applyBorder="1" applyAlignment="1">
      <alignment horizontal="left" wrapText="1"/>
    </xf>
    <xf numFmtId="49" fontId="14" fillId="0" borderId="1" xfId="0" applyNumberFormat="1" applyFont="1" applyBorder="1" applyAlignment="1">
      <alignment wrapText="1"/>
    </xf>
    <xf numFmtId="49" fontId="15" fillId="0" borderId="1" xfId="0" applyNumberFormat="1" applyFont="1" applyBorder="1" applyAlignment="1">
      <alignment vertical="center" wrapText="1"/>
    </xf>
    <xf numFmtId="49" fontId="14" fillId="3" borderId="1" xfId="0" applyNumberFormat="1" applyFont="1" applyFill="1" applyBorder="1" applyAlignment="1">
      <alignment vertical="center" wrapText="1"/>
    </xf>
    <xf numFmtId="49" fontId="14" fillId="0" borderId="1" xfId="0" applyNumberFormat="1" applyFont="1" applyBorder="1" applyAlignment="1">
      <alignment vertical="center" wrapText="1"/>
    </xf>
    <xf numFmtId="0" fontId="9" fillId="0" borderId="1" xfId="2" applyFont="1" applyFill="1" applyBorder="1" applyAlignment="1"/>
    <xf numFmtId="49" fontId="14" fillId="0" borderId="1" xfId="0" applyNumberFormat="1" applyFont="1" applyBorder="1" applyAlignment="1">
      <alignment horizontal="left" wrapText="1"/>
    </xf>
    <xf numFmtId="0" fontId="16" fillId="3" borderId="1" xfId="2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 indent="1"/>
    </xf>
    <xf numFmtId="2" fontId="7" fillId="0" borderId="1" xfId="1" applyNumberFormat="1" applyFont="1" applyFill="1" applyBorder="1" applyAlignment="1">
      <alignment horizontal="left"/>
    </xf>
    <xf numFmtId="0" fontId="16" fillId="0" borderId="1" xfId="2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wrapText="1"/>
    </xf>
    <xf numFmtId="0" fontId="16" fillId="0" borderId="1" xfId="2" applyFont="1" applyFill="1" applyBorder="1" applyAlignment="1">
      <alignment horizontal="left" wrapText="1"/>
    </xf>
    <xf numFmtId="0" fontId="16" fillId="0" borderId="1" xfId="2" applyFont="1" applyFill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6" fillId="0" borderId="1" xfId="2" applyFont="1" applyFill="1" applyBorder="1"/>
    <xf numFmtId="4" fontId="7" fillId="0" borderId="1" xfId="0" applyNumberFormat="1" applyFont="1" applyBorder="1" applyAlignment="1">
      <alignment horizontal="left"/>
    </xf>
    <xf numFmtId="0" fontId="15" fillId="0" borderId="1" xfId="0" applyFont="1" applyBorder="1"/>
    <xf numFmtId="14" fontId="12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vertical="center"/>
    </xf>
    <xf numFmtId="0" fontId="12" fillId="0" borderId="1" xfId="0" applyFont="1" applyBorder="1"/>
    <xf numFmtId="0" fontId="0" fillId="0" borderId="1" xfId="0" applyBorder="1"/>
    <xf numFmtId="0" fontId="8" fillId="0" borderId="1" xfId="2" applyFill="1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9" fillId="0" borderId="0" xfId="0" applyFont="1" applyAlignment="1">
      <alignment horizontal="left" vertical="center" wrapText="1" indent="1"/>
    </xf>
    <xf numFmtId="0" fontId="8" fillId="0" borderId="0" xfId="2"/>
    <xf numFmtId="0" fontId="7" fillId="0" borderId="2" xfId="0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9" fillId="0" borderId="0" xfId="0" applyFont="1"/>
    <xf numFmtId="0" fontId="7" fillId="2" borderId="1" xfId="0" applyFont="1" applyFill="1" applyBorder="1"/>
    <xf numFmtId="0" fontId="0" fillId="2" borderId="0" xfId="0" applyFill="1"/>
    <xf numFmtId="1" fontId="7" fillId="2" borderId="1" xfId="0" applyNumberFormat="1" applyFont="1" applyFill="1" applyBorder="1" applyAlignment="1">
      <alignment horizontal="left"/>
    </xf>
    <xf numFmtId="0" fontId="9" fillId="2" borderId="1" xfId="2" applyFont="1" applyFill="1" applyBorder="1" applyAlignment="1"/>
    <xf numFmtId="0" fontId="9" fillId="2" borderId="1" xfId="2" applyFont="1" applyFill="1" applyBorder="1" applyAlignment="1">
      <alignment wrapText="1"/>
    </xf>
    <xf numFmtId="14" fontId="7" fillId="2" borderId="1" xfId="0" applyNumberFormat="1" applyFont="1" applyFill="1" applyBorder="1" applyAlignment="1">
      <alignment horizontal="left"/>
    </xf>
    <xf numFmtId="0" fontId="11" fillId="0" borderId="1" xfId="2" applyFont="1" applyFill="1" applyBorder="1" applyAlignment="1"/>
    <xf numFmtId="0" fontId="0" fillId="3" borderId="0" xfId="0" applyFill="1"/>
    <xf numFmtId="49" fontId="14" fillId="2" borderId="1" xfId="0" applyNumberFormat="1" applyFont="1" applyFill="1" applyBorder="1" applyAlignment="1">
      <alignment wrapText="1"/>
    </xf>
    <xf numFmtId="49" fontId="15" fillId="2" borderId="1" xfId="0" applyNumberFormat="1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/>
    </xf>
    <xf numFmtId="0" fontId="13" fillId="3" borderId="1" xfId="2" applyFont="1" applyFill="1" applyBorder="1" applyAlignment="1"/>
    <xf numFmtId="49" fontId="14" fillId="2" borderId="1" xfId="0" applyNumberFormat="1" applyFont="1" applyFill="1" applyBorder="1" applyAlignment="1">
      <alignment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6" fillId="3" borderId="1" xfId="2" applyFont="1" applyFill="1" applyBorder="1" applyAlignment="1">
      <alignment horizontal="left" vertical="center" wrapText="1"/>
    </xf>
    <xf numFmtId="14" fontId="7" fillId="3" borderId="1" xfId="0" applyNumberFormat="1" applyFont="1" applyFill="1" applyBorder="1" applyAlignment="1">
      <alignment horizontal="left"/>
    </xf>
    <xf numFmtId="0" fontId="18" fillId="3" borderId="1" xfId="0" applyFont="1" applyFill="1" applyBorder="1" applyAlignment="1">
      <alignment horizontal="left" wrapText="1"/>
    </xf>
    <xf numFmtId="0" fontId="16" fillId="3" borderId="1" xfId="2" applyFont="1" applyFill="1" applyBorder="1" applyAlignment="1">
      <alignment horizontal="left" wrapText="1"/>
    </xf>
    <xf numFmtId="0" fontId="18" fillId="3" borderId="1" xfId="0" applyFont="1" applyFill="1" applyBorder="1" applyAlignment="1">
      <alignment horizontal="left" vertical="center" wrapText="1" indent="1"/>
    </xf>
    <xf numFmtId="0" fontId="18" fillId="3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16" fillId="2" borderId="1" xfId="2" applyFont="1" applyFill="1" applyBorder="1" applyAlignment="1">
      <alignment horizontal="left"/>
    </xf>
    <xf numFmtId="0" fontId="7" fillId="3" borderId="1" xfId="0" applyFont="1" applyFill="1" applyBorder="1"/>
    <xf numFmtId="0" fontId="15" fillId="2" borderId="1" xfId="0" applyFont="1" applyFill="1" applyBorder="1"/>
    <xf numFmtId="14" fontId="12" fillId="2" borderId="1" xfId="0" applyNumberFormat="1" applyFont="1" applyFill="1" applyBorder="1" applyAlignment="1">
      <alignment horizontal="left"/>
    </xf>
    <xf numFmtId="0" fontId="20" fillId="2" borderId="1" xfId="0" applyFont="1" applyFill="1" applyBorder="1" applyAlignment="1">
      <alignment vertical="center"/>
    </xf>
    <xf numFmtId="0" fontId="20" fillId="2" borderId="1" xfId="0" applyFont="1" applyFill="1" applyBorder="1"/>
    <xf numFmtId="0" fontId="12" fillId="2" borderId="1" xfId="0" applyFont="1" applyFill="1" applyBorder="1"/>
    <xf numFmtId="0" fontId="16" fillId="2" borderId="1" xfId="2" applyFont="1" applyFill="1" applyBorder="1"/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wrapText="1"/>
    </xf>
    <xf numFmtId="0" fontId="18" fillId="2" borderId="1" xfId="0" applyFont="1" applyFill="1" applyBorder="1" applyAlignment="1">
      <alignment horizontal="left" vertical="center" wrapText="1" indent="1"/>
    </xf>
    <xf numFmtId="2" fontId="7" fillId="2" borderId="1" xfId="1" applyNumberFormat="1" applyFont="1" applyFill="1" applyBorder="1" applyAlignment="1">
      <alignment horizontal="left"/>
    </xf>
    <xf numFmtId="0" fontId="13" fillId="2" borderId="1" xfId="2" applyFont="1" applyFill="1" applyBorder="1" applyAlignment="1"/>
    <xf numFmtId="2" fontId="12" fillId="2" borderId="1" xfId="0" applyNumberFormat="1" applyFont="1" applyFill="1" applyBorder="1" applyAlignment="1">
      <alignment horizontal="left"/>
    </xf>
    <xf numFmtId="49" fontId="14" fillId="2" borderId="1" xfId="0" applyNumberFormat="1" applyFont="1" applyFill="1" applyBorder="1" applyAlignment="1">
      <alignment horizontal="left" wrapText="1"/>
    </xf>
    <xf numFmtId="0" fontId="6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6" fillId="0" borderId="0" xfId="1" applyNumberFormat="1" applyFont="1"/>
    <xf numFmtId="0" fontId="21" fillId="0" borderId="3" xfId="0" applyFont="1" applyBorder="1" applyAlignment="1">
      <alignment horizontal="center" wrapText="1"/>
    </xf>
    <xf numFmtId="0" fontId="21" fillId="0" borderId="4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9" xfId="0" applyFont="1" applyBorder="1" applyAlignment="1">
      <alignment horizontal="center"/>
    </xf>
    <xf numFmtId="0" fontId="21" fillId="0" borderId="12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wrapText="1"/>
    </xf>
    <xf numFmtId="0" fontId="21" fillId="0" borderId="1" xfId="1" applyNumberFormat="1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21" fillId="0" borderId="9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6" fillId="0" borderId="0" xfId="1" applyNumberFormat="1" applyFont="1" applyAlignment="1">
      <alignment horizontal="left"/>
    </xf>
    <xf numFmtId="164" fontId="6" fillId="0" borderId="14" xfId="1" applyFont="1" applyBorder="1" applyAlignment="1">
      <alignment horizontal="center"/>
    </xf>
    <xf numFmtId="164" fontId="6" fillId="0" borderId="14" xfId="1" applyFont="1" applyBorder="1"/>
    <xf numFmtId="0" fontId="6" fillId="0" borderId="14" xfId="0" applyFont="1" applyBorder="1"/>
    <xf numFmtId="0" fontId="8" fillId="0" borderId="14" xfId="2" applyBorder="1" applyAlignment="1">
      <alignment horizontal="left"/>
    </xf>
    <xf numFmtId="0" fontId="6" fillId="0" borderId="15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left"/>
    </xf>
    <xf numFmtId="2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164" fontId="6" fillId="0" borderId="1" xfId="1" applyFont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left"/>
    </xf>
    <xf numFmtId="2" fontId="6" fillId="4" borderId="1" xfId="0" applyNumberFormat="1" applyFont="1" applyFill="1" applyBorder="1" applyAlignment="1">
      <alignment horizontal="left"/>
    </xf>
    <xf numFmtId="164" fontId="6" fillId="4" borderId="1" xfId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2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wrapText="1"/>
    </xf>
    <xf numFmtId="164" fontId="0" fillId="4" borderId="1" xfId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left"/>
    </xf>
    <xf numFmtId="14" fontId="21" fillId="2" borderId="1" xfId="0" applyNumberFormat="1" applyFont="1" applyFill="1" applyBorder="1" applyAlignment="1">
      <alignment horizontal="left"/>
    </xf>
    <xf numFmtId="2" fontId="21" fillId="2" borderId="1" xfId="0" applyNumberFormat="1" applyFont="1" applyFill="1" applyBorder="1" applyAlignment="1">
      <alignment horizontal="left"/>
    </xf>
    <xf numFmtId="164" fontId="21" fillId="2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6" fillId="0" borderId="1" xfId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2" fontId="0" fillId="0" borderId="1" xfId="0" applyNumberFormat="1" applyBorder="1" applyAlignment="1">
      <alignment horizontal="left"/>
    </xf>
    <xf numFmtId="164" fontId="0" fillId="0" borderId="1" xfId="1" applyFont="1" applyBorder="1" applyAlignment="1">
      <alignment horizontal="center"/>
    </xf>
    <xf numFmtId="0" fontId="8" fillId="0" borderId="1" xfId="2" applyBorder="1" applyAlignment="1">
      <alignment horizontal="left"/>
    </xf>
    <xf numFmtId="14" fontId="6" fillId="2" borderId="1" xfId="0" applyNumberFormat="1" applyFont="1" applyFill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164" fontId="2" fillId="4" borderId="1" xfId="1" applyFont="1" applyFill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0" fillId="0" borderId="1" xfId="1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left"/>
    </xf>
    <xf numFmtId="14" fontId="0" fillId="5" borderId="1" xfId="0" applyNumberFormat="1" applyFill="1" applyBorder="1" applyAlignment="1">
      <alignment horizontal="left"/>
    </xf>
    <xf numFmtId="164" fontId="0" fillId="2" borderId="1" xfId="1" applyFont="1" applyFill="1" applyBorder="1" applyAlignment="1">
      <alignment horizontal="center"/>
    </xf>
    <xf numFmtId="0" fontId="23" fillId="0" borderId="1" xfId="2" applyFont="1" applyBorder="1" applyAlignment="1">
      <alignment horizontal="left"/>
    </xf>
    <xf numFmtId="0" fontId="24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6" fillId="0" borderId="12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27" fillId="0" borderId="1" xfId="0" applyFont="1" applyBorder="1" applyAlignment="1">
      <alignment vertical="center"/>
    </xf>
    <xf numFmtId="0" fontId="6" fillId="0" borderId="13" xfId="0" applyFont="1" applyBorder="1" applyAlignment="1">
      <alignment horizontal="left"/>
    </xf>
    <xf numFmtId="0" fontId="27" fillId="0" borderId="1" xfId="0" applyFont="1" applyBorder="1" applyAlignment="1">
      <alignment vertical="center" wrapText="1"/>
    </xf>
  </cellXfs>
  <cellStyles count="3">
    <cellStyle name="Comma 2" xfId="1" xr:uid="{7C21FE97-2623-4539-AF16-BCDC37616F37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ntinvestmalawi@gmail.com" TargetMode="External"/><Relationship Id="rId18" Type="http://schemas.openxmlformats.org/officeDocument/2006/relationships/hyperlink" Target="mailto:1ishpatel786@gmail.com" TargetMode="External"/><Relationship Id="rId26" Type="http://schemas.openxmlformats.org/officeDocument/2006/relationships/hyperlink" Target="mailto:marketworthdrillers@gmail.com" TargetMode="External"/><Relationship Id="rId39" Type="http://schemas.openxmlformats.org/officeDocument/2006/relationships/hyperlink" Target="mailto:pyramidgroup2010@gmail.com" TargetMode="External"/><Relationship Id="rId21" Type="http://schemas.openxmlformats.org/officeDocument/2006/relationships/hyperlink" Target="mailto:rodneykaunga@gmail.com" TargetMode="External"/><Relationship Id="rId34" Type="http://schemas.openxmlformats.org/officeDocument/2006/relationships/hyperlink" Target="mailto:mastersborehole@gmail.com" TargetMode="External"/><Relationship Id="rId42" Type="http://schemas.openxmlformats.org/officeDocument/2006/relationships/hyperlink" Target="mailto:cdrillers@gmail.com" TargetMode="External"/><Relationship Id="rId47" Type="http://schemas.openxmlformats.org/officeDocument/2006/relationships/hyperlink" Target="mailto:oiws@gmail.com" TargetMode="External"/><Relationship Id="rId50" Type="http://schemas.openxmlformats.org/officeDocument/2006/relationships/hyperlink" Target="mailto:sawaka@gmail.com" TargetMode="External"/><Relationship Id="rId7" Type="http://schemas.openxmlformats.org/officeDocument/2006/relationships/hyperlink" Target="mailto:gansumw@yahoo.com" TargetMode="External"/><Relationship Id="rId2" Type="http://schemas.openxmlformats.org/officeDocument/2006/relationships/hyperlink" Target="mailto:maseseray@gmail.com" TargetMode="External"/><Relationship Id="rId16" Type="http://schemas.openxmlformats.org/officeDocument/2006/relationships/hyperlink" Target="mailto:admin@malawirelief.org" TargetMode="External"/><Relationship Id="rId29" Type="http://schemas.openxmlformats.org/officeDocument/2006/relationships/hyperlink" Target="mailto:rkntransition@gmail.com" TargetMode="External"/><Relationship Id="rId11" Type="http://schemas.openxmlformats.org/officeDocument/2006/relationships/hyperlink" Target="mailto:kanjirainvestments@gmail.com" TargetMode="External"/><Relationship Id="rId24" Type="http://schemas.openxmlformats.org/officeDocument/2006/relationships/hyperlink" Target="mailto:morchdrillers@gmail.com" TargetMode="External"/><Relationship Id="rId32" Type="http://schemas.openxmlformats.org/officeDocument/2006/relationships/hyperlink" Target="mailto:uplilongwe@united-purpose.org" TargetMode="External"/><Relationship Id="rId37" Type="http://schemas.openxmlformats.org/officeDocument/2006/relationships/hyperlink" Target="mailto:ducemalawi@gmail.com" TargetMode="External"/><Relationship Id="rId40" Type="http://schemas.openxmlformats.org/officeDocument/2006/relationships/hyperlink" Target="mailto:info@pinnaclemw.net" TargetMode="External"/><Relationship Id="rId45" Type="http://schemas.openxmlformats.org/officeDocument/2006/relationships/hyperlink" Target="mailto:contact@kumudzikuwale.com" TargetMode="External"/><Relationship Id="rId5" Type="http://schemas.openxmlformats.org/officeDocument/2006/relationships/hyperlink" Target="mailto:everfreshie@gmail.com" TargetMode="External"/><Relationship Id="rId15" Type="http://schemas.openxmlformats.org/officeDocument/2006/relationships/hyperlink" Target="mailto:mufrimalawi.africa@gmail.com" TargetMode="External"/><Relationship Id="rId23" Type="http://schemas.openxmlformats.org/officeDocument/2006/relationships/hyperlink" Target="mailto:info@groupsawa.com" TargetMode="External"/><Relationship Id="rId28" Type="http://schemas.openxmlformats.org/officeDocument/2006/relationships/hyperlink" Target="mailto:ndafikadrilling@gmail.com" TargetMode="External"/><Relationship Id="rId36" Type="http://schemas.openxmlformats.org/officeDocument/2006/relationships/hyperlink" Target="mailto:royal.limited@gmail.com" TargetMode="External"/><Relationship Id="rId49" Type="http://schemas.openxmlformats.org/officeDocument/2006/relationships/hyperlink" Target="mailto:sachikowaterlimited@gmail.com" TargetMode="External"/><Relationship Id="rId10" Type="http://schemas.openxmlformats.org/officeDocument/2006/relationships/hyperlink" Target="mailto:pbmconstructions@gmail.com" TargetMode="External"/><Relationship Id="rId19" Type="http://schemas.openxmlformats.org/officeDocument/2006/relationships/hyperlink" Target="mailto:info@ogmadzidrillers.com" TargetMode="External"/><Relationship Id="rId31" Type="http://schemas.openxmlformats.org/officeDocument/2006/relationships/hyperlink" Target="mailto:dindiholdingsmw77@gmail.com" TargetMode="External"/><Relationship Id="rId44" Type="http://schemas.openxmlformats.org/officeDocument/2006/relationships/hyperlink" Target="mailto:edgarmahambasoko@gmail.com" TargetMode="External"/><Relationship Id="rId52" Type="http://schemas.openxmlformats.org/officeDocument/2006/relationships/hyperlink" Target="mailto:hplengineeringmw@gmail.com" TargetMode="External"/><Relationship Id="rId4" Type="http://schemas.openxmlformats.org/officeDocument/2006/relationships/hyperlink" Target="mailto:tropicaldrillingco@gmail.com" TargetMode="External"/><Relationship Id="rId9" Type="http://schemas.openxmlformats.org/officeDocument/2006/relationships/hyperlink" Target="mailto:jkapanda@sangaconstructionmw.com" TargetMode="External"/><Relationship Id="rId14" Type="http://schemas.openxmlformats.org/officeDocument/2006/relationships/hyperlink" Target="mailto:pgdrilling.co@gmail.com" TargetMode="External"/><Relationship Id="rId22" Type="http://schemas.openxmlformats.org/officeDocument/2006/relationships/hyperlink" Target="mailto:keiretsu@globemw.net" TargetMode="External"/><Relationship Id="rId27" Type="http://schemas.openxmlformats.org/officeDocument/2006/relationships/hyperlink" Target="mailto:faz@africa-online.net" TargetMode="External"/><Relationship Id="rId30" Type="http://schemas.openxmlformats.org/officeDocument/2006/relationships/hyperlink" Target="mailto:pnyemba@geoservemw.com" TargetMode="External"/><Relationship Id="rId35" Type="http://schemas.openxmlformats.org/officeDocument/2006/relationships/hyperlink" Target="mailto:fredchiweza@gmail.com" TargetMode="External"/><Relationship Id="rId43" Type="http://schemas.openxmlformats.org/officeDocument/2006/relationships/hyperlink" Target="mailto:rashidsatinumali@gmail.com" TargetMode="External"/><Relationship Id="rId48" Type="http://schemas.openxmlformats.org/officeDocument/2006/relationships/hyperlink" Target="mailto:innocentsemu77@gmail.com" TargetMode="External"/><Relationship Id="rId8" Type="http://schemas.openxmlformats.org/officeDocument/2006/relationships/hyperlink" Target="mailto:fisd@fisdltd.com" TargetMode="External"/><Relationship Id="rId51" Type="http://schemas.openxmlformats.org/officeDocument/2006/relationships/hyperlink" Target="mailto:wchangersbc@yahoo.com/bmalekano99@gmail.com" TargetMode="External"/><Relationship Id="rId3" Type="http://schemas.openxmlformats.org/officeDocument/2006/relationships/hyperlink" Target="mailto:harvestengineeringmw@gmail.com" TargetMode="External"/><Relationship Id="rId12" Type="http://schemas.openxmlformats.org/officeDocument/2006/relationships/hyperlink" Target="mailto:vodar@globemw.net" TargetMode="External"/><Relationship Id="rId17" Type="http://schemas.openxmlformats.org/officeDocument/2006/relationships/hyperlink" Target="mailto:mozagua@africa-online.net" TargetMode="External"/><Relationship Id="rId25" Type="http://schemas.openxmlformats.org/officeDocument/2006/relationships/hyperlink" Target="mailto:andychiphwanya@gmail.com" TargetMode="External"/><Relationship Id="rId33" Type="http://schemas.openxmlformats.org/officeDocument/2006/relationships/hyperlink" Target="mailto:hon.mfkazombo@gmail.com" TargetMode="External"/><Relationship Id="rId38" Type="http://schemas.openxmlformats.org/officeDocument/2006/relationships/hyperlink" Target="mailto:kattyolekel@gmail.com" TargetMode="External"/><Relationship Id="rId46" Type="http://schemas.openxmlformats.org/officeDocument/2006/relationships/hyperlink" Target="mailto:aquatech.master@yahoo.com" TargetMode="External"/><Relationship Id="rId20" Type="http://schemas.openxmlformats.org/officeDocument/2006/relationships/hyperlink" Target="mailto:chagomaj@yahoo.com" TargetMode="External"/><Relationship Id="rId41" Type="http://schemas.openxmlformats.org/officeDocument/2006/relationships/hyperlink" Target="mailto:deccostruction@rocketmail.com" TargetMode="External"/><Relationship Id="rId1" Type="http://schemas.openxmlformats.org/officeDocument/2006/relationships/hyperlink" Target="mailto:debbie.mphande@gmail.com" TargetMode="External"/><Relationship Id="rId6" Type="http://schemas.openxmlformats.org/officeDocument/2006/relationships/hyperlink" Target="mailto:ghilchikweza@yahoo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keiretsu@globemw.net" TargetMode="External"/><Relationship Id="rId18" Type="http://schemas.openxmlformats.org/officeDocument/2006/relationships/hyperlink" Target="mailto:chagomaj@yahoo.com" TargetMode="External"/><Relationship Id="rId26" Type="http://schemas.openxmlformats.org/officeDocument/2006/relationships/hyperlink" Target="mailto:pyramidgroup2010@gmail.com" TargetMode="External"/><Relationship Id="rId39" Type="http://schemas.openxmlformats.org/officeDocument/2006/relationships/hyperlink" Target="mailto:fredchiweza@gmail.com" TargetMode="External"/><Relationship Id="rId21" Type="http://schemas.openxmlformats.org/officeDocument/2006/relationships/hyperlink" Target="mailto:mastersborehole@gmail.com" TargetMode="External"/><Relationship Id="rId34" Type="http://schemas.openxmlformats.org/officeDocument/2006/relationships/hyperlink" Target="mailto:sachikowaterlimited@gmail.com" TargetMode="External"/><Relationship Id="rId7" Type="http://schemas.openxmlformats.org/officeDocument/2006/relationships/hyperlink" Target="mailto:pbmconstructions@gmail.com" TargetMode="External"/><Relationship Id="rId12" Type="http://schemas.openxmlformats.org/officeDocument/2006/relationships/hyperlink" Target="mailto:andychiphwanya@gmail.com" TargetMode="External"/><Relationship Id="rId17" Type="http://schemas.openxmlformats.org/officeDocument/2006/relationships/hyperlink" Target="mailto:1ishpatel786@gmail.com" TargetMode="External"/><Relationship Id="rId25" Type="http://schemas.openxmlformats.org/officeDocument/2006/relationships/hyperlink" Target="mailto:kattyolekel@gmail.com" TargetMode="External"/><Relationship Id="rId33" Type="http://schemas.openxmlformats.org/officeDocument/2006/relationships/hyperlink" Target="mailto:innocentsemu77@gmail.com" TargetMode="External"/><Relationship Id="rId38" Type="http://schemas.openxmlformats.org/officeDocument/2006/relationships/hyperlink" Target="mailto:faz@africa-online.net" TargetMode="External"/><Relationship Id="rId2" Type="http://schemas.openxmlformats.org/officeDocument/2006/relationships/hyperlink" Target="mailto:vodar@globemw.net" TargetMode="External"/><Relationship Id="rId16" Type="http://schemas.openxmlformats.org/officeDocument/2006/relationships/hyperlink" Target="mailto:mozagua@africa-online.net" TargetMode="External"/><Relationship Id="rId20" Type="http://schemas.openxmlformats.org/officeDocument/2006/relationships/hyperlink" Target="mailto:hon.mfkazombo@gmail.com" TargetMode="External"/><Relationship Id="rId29" Type="http://schemas.openxmlformats.org/officeDocument/2006/relationships/hyperlink" Target="mailto:oiws@gmail.com" TargetMode="External"/><Relationship Id="rId1" Type="http://schemas.openxmlformats.org/officeDocument/2006/relationships/hyperlink" Target="mailto:maseseray@gmail.com" TargetMode="External"/><Relationship Id="rId6" Type="http://schemas.openxmlformats.org/officeDocument/2006/relationships/hyperlink" Target="mailto:fisd@fisdltd.com" TargetMode="External"/><Relationship Id="rId11" Type="http://schemas.openxmlformats.org/officeDocument/2006/relationships/hyperlink" Target="mailto:morchdrillers@gmail.com" TargetMode="External"/><Relationship Id="rId24" Type="http://schemas.openxmlformats.org/officeDocument/2006/relationships/hyperlink" Target="mailto:ducemalawi@gmail.com" TargetMode="External"/><Relationship Id="rId32" Type="http://schemas.openxmlformats.org/officeDocument/2006/relationships/hyperlink" Target="mailto:aquatech.master@yahoo.com" TargetMode="External"/><Relationship Id="rId37" Type="http://schemas.openxmlformats.org/officeDocument/2006/relationships/hyperlink" Target="mailto:fisd@fisdltd.com" TargetMode="External"/><Relationship Id="rId5" Type="http://schemas.openxmlformats.org/officeDocument/2006/relationships/hyperlink" Target="mailto:gansumw@yahoo.com" TargetMode="External"/><Relationship Id="rId15" Type="http://schemas.openxmlformats.org/officeDocument/2006/relationships/hyperlink" Target="mailto:dindiholdingsmw77@gmail.com" TargetMode="External"/><Relationship Id="rId23" Type="http://schemas.openxmlformats.org/officeDocument/2006/relationships/hyperlink" Target="mailto:royal.limited@gmail.com" TargetMode="External"/><Relationship Id="rId28" Type="http://schemas.openxmlformats.org/officeDocument/2006/relationships/hyperlink" Target="mailto:cdrillers@gmail.com" TargetMode="External"/><Relationship Id="rId36" Type="http://schemas.openxmlformats.org/officeDocument/2006/relationships/hyperlink" Target="mailto:wchangersbc@yahoo.com/bmalekano99@gmail.com" TargetMode="External"/><Relationship Id="rId10" Type="http://schemas.openxmlformats.org/officeDocument/2006/relationships/hyperlink" Target="mailto:info@groupsawa.com" TargetMode="External"/><Relationship Id="rId19" Type="http://schemas.openxmlformats.org/officeDocument/2006/relationships/hyperlink" Target="mailto:uplilongwe@united-purpose.org" TargetMode="External"/><Relationship Id="rId31" Type="http://schemas.openxmlformats.org/officeDocument/2006/relationships/hyperlink" Target="mailto:contact@kumudzikuwale.com" TargetMode="External"/><Relationship Id="rId4" Type="http://schemas.openxmlformats.org/officeDocument/2006/relationships/hyperlink" Target="mailto:ghilchikweza@yahoo.com" TargetMode="External"/><Relationship Id="rId9" Type="http://schemas.openxmlformats.org/officeDocument/2006/relationships/hyperlink" Target="mailto:tntinvestmalawi@gmail.com" TargetMode="External"/><Relationship Id="rId14" Type="http://schemas.openxmlformats.org/officeDocument/2006/relationships/hyperlink" Target="mailto:pnyemba@geoservemw.com" TargetMode="External"/><Relationship Id="rId22" Type="http://schemas.openxmlformats.org/officeDocument/2006/relationships/hyperlink" Target="mailto:rodneykaunga@gmail.com" TargetMode="External"/><Relationship Id="rId27" Type="http://schemas.openxmlformats.org/officeDocument/2006/relationships/hyperlink" Target="mailto:deccostruction@rocketmail.com" TargetMode="External"/><Relationship Id="rId30" Type="http://schemas.openxmlformats.org/officeDocument/2006/relationships/hyperlink" Target="mailto:info@pinnaclemw.net" TargetMode="External"/><Relationship Id="rId35" Type="http://schemas.openxmlformats.org/officeDocument/2006/relationships/hyperlink" Target="mailto:sawaka@gmail.com" TargetMode="External"/><Relationship Id="rId8" Type="http://schemas.openxmlformats.org/officeDocument/2006/relationships/hyperlink" Target="mailto:pgdrilling.co@gmail.com" TargetMode="External"/><Relationship Id="rId3" Type="http://schemas.openxmlformats.org/officeDocument/2006/relationships/hyperlink" Target="mailto:tropicaldrillingco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llc.mw" TargetMode="External"/><Relationship Id="rId18" Type="http://schemas.openxmlformats.org/officeDocument/2006/relationships/hyperlink" Target="mailto:info@llc.mw" TargetMode="External"/><Relationship Id="rId26" Type="http://schemas.openxmlformats.org/officeDocument/2006/relationships/hyperlink" Target="mailto:info@llc.mw" TargetMode="External"/><Relationship Id="rId3" Type="http://schemas.openxmlformats.org/officeDocument/2006/relationships/hyperlink" Target="mailto:allenmjima@gmail.com" TargetMode="External"/><Relationship Id="rId21" Type="http://schemas.openxmlformats.org/officeDocument/2006/relationships/hyperlink" Target="mailto:info@llc.mw" TargetMode="External"/><Relationship Id="rId7" Type="http://schemas.openxmlformats.org/officeDocument/2006/relationships/hyperlink" Target="mailto:julius.phiri4@gmail.com" TargetMode="External"/><Relationship Id="rId12" Type="http://schemas.openxmlformats.org/officeDocument/2006/relationships/hyperlink" Target="mailto:info@llc.mw" TargetMode="External"/><Relationship Id="rId17" Type="http://schemas.openxmlformats.org/officeDocument/2006/relationships/hyperlink" Target="mailto:info@llc.mw" TargetMode="External"/><Relationship Id="rId25" Type="http://schemas.openxmlformats.org/officeDocument/2006/relationships/hyperlink" Target="mailto:info@llc.mw" TargetMode="External"/><Relationship Id="rId33" Type="http://schemas.openxmlformats.org/officeDocument/2006/relationships/hyperlink" Target="mailto:info@llc.mw" TargetMode="External"/><Relationship Id="rId2" Type="http://schemas.openxmlformats.org/officeDocument/2006/relationships/hyperlink" Target="mailto:allenmjima@gmail.com" TargetMode="External"/><Relationship Id="rId16" Type="http://schemas.openxmlformats.org/officeDocument/2006/relationships/hyperlink" Target="mailto:info@llc.mw" TargetMode="External"/><Relationship Id="rId20" Type="http://schemas.openxmlformats.org/officeDocument/2006/relationships/hyperlink" Target="mailto:info@llc.mw" TargetMode="External"/><Relationship Id="rId29" Type="http://schemas.openxmlformats.org/officeDocument/2006/relationships/hyperlink" Target="mailto:info@llc.mw" TargetMode="External"/><Relationship Id="rId1" Type="http://schemas.openxmlformats.org/officeDocument/2006/relationships/hyperlink" Target="mailto:allenmjima@gmail.com" TargetMode="External"/><Relationship Id="rId6" Type="http://schemas.openxmlformats.org/officeDocument/2006/relationships/hyperlink" Target="mailto:info@thegrandpalacemalawi.com" TargetMode="External"/><Relationship Id="rId11" Type="http://schemas.openxmlformats.org/officeDocument/2006/relationships/hyperlink" Target="mailto:info@llc.mw" TargetMode="External"/><Relationship Id="rId24" Type="http://schemas.openxmlformats.org/officeDocument/2006/relationships/hyperlink" Target="mailto:info@llc.mw" TargetMode="External"/><Relationship Id="rId32" Type="http://schemas.openxmlformats.org/officeDocument/2006/relationships/hyperlink" Target="mailto:info@llc.mw" TargetMode="External"/><Relationship Id="rId5" Type="http://schemas.openxmlformats.org/officeDocument/2006/relationships/hyperlink" Target="mailto:st.thomas.zolozolo@gmail.com" TargetMode="External"/><Relationship Id="rId15" Type="http://schemas.openxmlformats.org/officeDocument/2006/relationships/hyperlink" Target="mailto:info@llc.mw" TargetMode="External"/><Relationship Id="rId23" Type="http://schemas.openxmlformats.org/officeDocument/2006/relationships/hyperlink" Target="mailto:info@llc.mw" TargetMode="External"/><Relationship Id="rId28" Type="http://schemas.openxmlformats.org/officeDocument/2006/relationships/hyperlink" Target="mailto:info@llc.mw" TargetMode="External"/><Relationship Id="rId10" Type="http://schemas.openxmlformats.org/officeDocument/2006/relationships/hyperlink" Target="mailto:madzi@lwb.mw" TargetMode="External"/><Relationship Id="rId19" Type="http://schemas.openxmlformats.org/officeDocument/2006/relationships/hyperlink" Target="mailto:info@llc.mw" TargetMode="External"/><Relationship Id="rId31" Type="http://schemas.openxmlformats.org/officeDocument/2006/relationships/hyperlink" Target="mailto:info@llc.mw" TargetMode="External"/><Relationship Id="rId4" Type="http://schemas.openxmlformats.org/officeDocument/2006/relationships/hyperlink" Target="mailto:mzuzureception@sunbirdmalawi.com" TargetMode="External"/><Relationship Id="rId9" Type="http://schemas.openxmlformats.org/officeDocument/2006/relationships/hyperlink" Target="mailto:capitalres@sunbirdmalawi.com" TargetMode="External"/><Relationship Id="rId14" Type="http://schemas.openxmlformats.org/officeDocument/2006/relationships/hyperlink" Target="mailto:info@llc.mw" TargetMode="External"/><Relationship Id="rId22" Type="http://schemas.openxmlformats.org/officeDocument/2006/relationships/hyperlink" Target="mailto:info@llc.mw" TargetMode="External"/><Relationship Id="rId27" Type="http://schemas.openxmlformats.org/officeDocument/2006/relationships/hyperlink" Target="mailto:info@llc.mw" TargetMode="External"/><Relationship Id="rId30" Type="http://schemas.openxmlformats.org/officeDocument/2006/relationships/hyperlink" Target="mailto:info@llc.mw" TargetMode="External"/><Relationship Id="rId8" Type="http://schemas.openxmlformats.org/officeDocument/2006/relationships/hyperlink" Target="mailto:booking@matunducottagemw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peedy'smw.com" TargetMode="External"/><Relationship Id="rId2" Type="http://schemas.openxmlformats.org/officeDocument/2006/relationships/hyperlink" Target="mailto:info@speedy'smw.com" TargetMode="External"/><Relationship Id="rId1" Type="http://schemas.openxmlformats.org/officeDocument/2006/relationships/hyperlink" Target="mailto:ralpha.henderson@corranfarming.com" TargetMode="External"/><Relationship Id="rId5" Type="http://schemas.openxmlformats.org/officeDocument/2006/relationships/hyperlink" Target="mailto:info@speedy'smw.com" TargetMode="External"/><Relationship Id="rId4" Type="http://schemas.openxmlformats.org/officeDocument/2006/relationships/hyperlink" Target="mailto:info@speedy'sm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7BC7-2EB5-4C2B-ABD9-95C441824425}">
  <dimension ref="A1:P94"/>
  <sheetViews>
    <sheetView workbookViewId="0">
      <selection sqref="A1:P94"/>
    </sheetView>
  </sheetViews>
  <sheetFormatPr defaultRowHeight="14.5" x14ac:dyDescent="0.35"/>
  <sheetData>
    <row r="1" spans="1:16" ht="3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4"/>
    </row>
    <row r="2" spans="1:16" ht="16" x14ac:dyDescent="0.4">
      <c r="A2" s="5">
        <v>1</v>
      </c>
      <c r="B2" s="6" t="s">
        <v>15</v>
      </c>
      <c r="C2" s="6" t="s">
        <v>16</v>
      </c>
      <c r="D2" s="6">
        <v>888843222</v>
      </c>
      <c r="E2" s="7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8">
        <v>980000</v>
      </c>
      <c r="L2" s="8"/>
      <c r="M2" s="8"/>
      <c r="N2" s="8">
        <v>580000</v>
      </c>
      <c r="O2" s="6" t="s">
        <v>23</v>
      </c>
      <c r="P2" s="4"/>
    </row>
    <row r="3" spans="1:16" ht="16" x14ac:dyDescent="0.4">
      <c r="A3" s="5">
        <v>2</v>
      </c>
      <c r="B3" s="6" t="s">
        <v>24</v>
      </c>
      <c r="C3" s="6" t="s">
        <v>25</v>
      </c>
      <c r="D3" s="6" t="s">
        <v>26</v>
      </c>
      <c r="E3" s="9" t="s">
        <v>27</v>
      </c>
      <c r="F3" s="6" t="s">
        <v>28</v>
      </c>
      <c r="G3" s="6" t="s">
        <v>29</v>
      </c>
      <c r="H3" s="10">
        <v>44359</v>
      </c>
      <c r="I3" s="10">
        <v>44693</v>
      </c>
      <c r="J3" s="6" t="s">
        <v>30</v>
      </c>
      <c r="K3" s="8">
        <v>980000</v>
      </c>
      <c r="L3" s="8"/>
      <c r="M3" s="8"/>
      <c r="N3" s="8">
        <v>0</v>
      </c>
      <c r="O3" s="6" t="s">
        <v>31</v>
      </c>
      <c r="P3" s="4"/>
    </row>
    <row r="4" spans="1:16" ht="16" x14ac:dyDescent="0.4">
      <c r="A4" s="5">
        <v>3</v>
      </c>
      <c r="B4" s="6" t="s">
        <v>32</v>
      </c>
      <c r="C4" s="6" t="s">
        <v>33</v>
      </c>
      <c r="D4" s="11">
        <v>999468029</v>
      </c>
      <c r="E4" s="9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22</v>
      </c>
      <c r="K4" s="8">
        <v>490000</v>
      </c>
      <c r="L4" s="8"/>
      <c r="M4" s="8"/>
      <c r="N4" s="8">
        <v>400000</v>
      </c>
      <c r="O4" s="6" t="s">
        <v>23</v>
      </c>
      <c r="P4" s="4"/>
    </row>
    <row r="5" spans="1:16" ht="16" x14ac:dyDescent="0.4">
      <c r="A5" s="5">
        <v>4</v>
      </c>
      <c r="B5" s="6" t="s">
        <v>39</v>
      </c>
      <c r="C5" s="6" t="s">
        <v>40</v>
      </c>
      <c r="D5" s="6">
        <v>888233144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6" t="s">
        <v>46</v>
      </c>
      <c r="K5" s="8">
        <v>980000</v>
      </c>
      <c r="L5" s="8"/>
      <c r="M5" s="8">
        <v>490000</v>
      </c>
      <c r="N5" s="8">
        <v>580000</v>
      </c>
      <c r="O5" s="6" t="s">
        <v>23</v>
      </c>
      <c r="P5" s="4"/>
    </row>
    <row r="6" spans="1:16" ht="16" x14ac:dyDescent="0.4">
      <c r="A6" s="12">
        <v>5</v>
      </c>
      <c r="B6" s="13" t="s">
        <v>47</v>
      </c>
      <c r="C6" s="13" t="s">
        <v>48</v>
      </c>
      <c r="D6" s="13" t="s">
        <v>49</v>
      </c>
      <c r="E6" s="14" t="s">
        <v>50</v>
      </c>
      <c r="F6" s="13" t="s">
        <v>51</v>
      </c>
      <c r="G6" s="13" t="s">
        <v>52</v>
      </c>
      <c r="H6" s="13" t="s">
        <v>53</v>
      </c>
      <c r="I6" s="13" t="s">
        <v>54</v>
      </c>
      <c r="J6" s="13" t="s">
        <v>55</v>
      </c>
      <c r="K6" s="15">
        <v>980000</v>
      </c>
      <c r="L6" s="15"/>
      <c r="M6" s="15"/>
      <c r="N6" s="15">
        <v>0</v>
      </c>
      <c r="O6" s="13" t="s">
        <v>23</v>
      </c>
      <c r="P6" s="16"/>
    </row>
    <row r="7" spans="1:16" ht="16" x14ac:dyDescent="0.4">
      <c r="A7" s="5">
        <v>6</v>
      </c>
      <c r="B7" s="17" t="s">
        <v>56</v>
      </c>
      <c r="C7" s="17" t="s">
        <v>57</v>
      </c>
      <c r="D7" s="17">
        <v>998333555</v>
      </c>
      <c r="E7" s="18" t="s">
        <v>58</v>
      </c>
      <c r="F7" s="17" t="s">
        <v>28</v>
      </c>
      <c r="G7" s="17" t="s">
        <v>59</v>
      </c>
      <c r="H7" s="17" t="s">
        <v>53</v>
      </c>
      <c r="I7" s="17" t="s">
        <v>54</v>
      </c>
      <c r="J7" s="17" t="s">
        <v>60</v>
      </c>
      <c r="K7" s="19">
        <v>490000</v>
      </c>
      <c r="L7" s="19" t="s">
        <v>61</v>
      </c>
      <c r="M7" s="19">
        <v>0</v>
      </c>
      <c r="N7" s="19">
        <v>0</v>
      </c>
      <c r="O7" s="6" t="s">
        <v>31</v>
      </c>
    </row>
    <row r="8" spans="1:16" ht="128" x14ac:dyDescent="0.4">
      <c r="A8" s="5">
        <v>7</v>
      </c>
      <c r="B8" s="6" t="s">
        <v>62</v>
      </c>
      <c r="C8" s="6" t="s">
        <v>63</v>
      </c>
      <c r="D8" s="6" t="s">
        <v>64</v>
      </c>
      <c r="E8" s="20" t="s">
        <v>65</v>
      </c>
      <c r="F8" s="6" t="s">
        <v>28</v>
      </c>
      <c r="G8" s="6" t="s">
        <v>66</v>
      </c>
      <c r="H8" s="6" t="s">
        <v>20</v>
      </c>
      <c r="I8" s="6" t="s">
        <v>21</v>
      </c>
      <c r="J8" s="6" t="s">
        <v>22</v>
      </c>
      <c r="K8" s="8">
        <v>980000</v>
      </c>
      <c r="L8" s="8"/>
      <c r="M8" s="8"/>
      <c r="N8" s="8">
        <v>420000</v>
      </c>
      <c r="O8" s="6" t="s">
        <v>23</v>
      </c>
      <c r="P8" s="4"/>
    </row>
    <row r="9" spans="1:16" ht="16" x14ac:dyDescent="0.4">
      <c r="A9" s="5">
        <v>8</v>
      </c>
      <c r="B9" s="6" t="s">
        <v>67</v>
      </c>
      <c r="C9" s="6" t="s">
        <v>68</v>
      </c>
      <c r="D9" s="6">
        <v>880086989</v>
      </c>
      <c r="E9" s="6" t="s">
        <v>69</v>
      </c>
      <c r="F9" s="6" t="s">
        <v>28</v>
      </c>
      <c r="G9" s="6" t="s">
        <v>70</v>
      </c>
      <c r="H9" s="10">
        <v>44274</v>
      </c>
      <c r="I9" s="10">
        <v>44638</v>
      </c>
      <c r="J9" s="6" t="s">
        <v>22</v>
      </c>
      <c r="K9" s="8">
        <v>490000</v>
      </c>
      <c r="L9" s="8"/>
      <c r="M9" s="8"/>
      <c r="N9" s="8">
        <v>580000</v>
      </c>
      <c r="O9" s="6" t="s">
        <v>23</v>
      </c>
      <c r="P9" s="4"/>
    </row>
    <row r="10" spans="1:16" ht="16" x14ac:dyDescent="0.4">
      <c r="A10" s="5">
        <v>9</v>
      </c>
      <c r="B10" s="6" t="s">
        <v>71</v>
      </c>
      <c r="C10" s="6" t="s">
        <v>72</v>
      </c>
      <c r="D10" s="6" t="s">
        <v>73</v>
      </c>
      <c r="E10" s="9" t="s">
        <v>74</v>
      </c>
      <c r="F10" s="6" t="s">
        <v>75</v>
      </c>
      <c r="G10" s="6" t="s">
        <v>76</v>
      </c>
      <c r="H10" s="6" t="s">
        <v>77</v>
      </c>
      <c r="I10" s="6" t="s">
        <v>78</v>
      </c>
      <c r="J10" s="6" t="s">
        <v>55</v>
      </c>
      <c r="K10" s="8">
        <v>490000</v>
      </c>
      <c r="L10" s="8"/>
      <c r="M10" s="8"/>
      <c r="N10" s="8">
        <v>0</v>
      </c>
      <c r="O10" s="6" t="s">
        <v>31</v>
      </c>
      <c r="P10" s="4"/>
    </row>
    <row r="11" spans="1:16" ht="16" x14ac:dyDescent="0.4">
      <c r="A11" s="5">
        <v>10</v>
      </c>
      <c r="B11" s="6" t="s">
        <v>79</v>
      </c>
      <c r="C11" s="6" t="s">
        <v>80</v>
      </c>
      <c r="D11" s="6" t="s">
        <v>81</v>
      </c>
      <c r="E11" s="9" t="s">
        <v>82</v>
      </c>
      <c r="F11" s="6" t="s">
        <v>28</v>
      </c>
      <c r="G11" s="6" t="s">
        <v>83</v>
      </c>
      <c r="H11" s="6" t="s">
        <v>20</v>
      </c>
      <c r="I11" s="6" t="s">
        <v>21</v>
      </c>
      <c r="J11" s="6" t="s">
        <v>22</v>
      </c>
      <c r="K11" s="8">
        <v>980000</v>
      </c>
      <c r="L11" s="8" t="s">
        <v>61</v>
      </c>
      <c r="M11" s="8">
        <v>500000</v>
      </c>
      <c r="N11" s="8">
        <v>0</v>
      </c>
      <c r="O11" s="6" t="s">
        <v>23</v>
      </c>
      <c r="P11" s="4"/>
    </row>
    <row r="12" spans="1:16" ht="16" x14ac:dyDescent="0.4">
      <c r="A12" s="5">
        <v>11</v>
      </c>
      <c r="B12" s="6" t="s">
        <v>84</v>
      </c>
      <c r="C12" s="6" t="s">
        <v>85</v>
      </c>
      <c r="D12" s="6" t="s">
        <v>86</v>
      </c>
      <c r="E12" s="9" t="s">
        <v>87</v>
      </c>
      <c r="F12" s="6" t="s">
        <v>28</v>
      </c>
      <c r="G12" s="6" t="s">
        <v>88</v>
      </c>
      <c r="H12" s="6" t="s">
        <v>20</v>
      </c>
      <c r="I12" s="6" t="s">
        <v>21</v>
      </c>
      <c r="J12" s="6" t="s">
        <v>22</v>
      </c>
      <c r="K12" s="8">
        <v>980000</v>
      </c>
      <c r="L12" s="8" t="s">
        <v>61</v>
      </c>
      <c r="M12" s="8">
        <v>420000</v>
      </c>
      <c r="N12" s="8">
        <v>580000</v>
      </c>
      <c r="O12" s="6" t="s">
        <v>23</v>
      </c>
      <c r="P12" s="4"/>
    </row>
    <row r="13" spans="1:16" ht="16" x14ac:dyDescent="0.4">
      <c r="A13" s="5">
        <v>12</v>
      </c>
      <c r="B13" s="6" t="s">
        <v>89</v>
      </c>
      <c r="C13" s="6" t="s">
        <v>90</v>
      </c>
      <c r="D13" s="6" t="s">
        <v>86</v>
      </c>
      <c r="E13" s="6" t="s">
        <v>91</v>
      </c>
      <c r="F13" s="6" t="s">
        <v>18</v>
      </c>
      <c r="G13" s="6" t="s">
        <v>92</v>
      </c>
      <c r="H13" s="6" t="s">
        <v>20</v>
      </c>
      <c r="I13" s="6" t="s">
        <v>21</v>
      </c>
      <c r="J13" s="6" t="s">
        <v>55</v>
      </c>
      <c r="K13" s="8">
        <v>980000</v>
      </c>
      <c r="L13" s="8" t="s">
        <v>61</v>
      </c>
      <c r="M13" s="8">
        <v>210000</v>
      </c>
      <c r="N13" s="8">
        <v>580000</v>
      </c>
      <c r="O13" s="6" t="s">
        <v>23</v>
      </c>
      <c r="P13" s="4"/>
    </row>
    <row r="14" spans="1:16" ht="16" x14ac:dyDescent="0.4">
      <c r="A14" s="5">
        <v>13</v>
      </c>
      <c r="B14" s="6" t="s">
        <v>93</v>
      </c>
      <c r="C14" s="6" t="s">
        <v>94</v>
      </c>
      <c r="D14" s="6" t="s">
        <v>95</v>
      </c>
      <c r="E14" s="6" t="s">
        <v>96</v>
      </c>
      <c r="F14" s="6" t="s">
        <v>28</v>
      </c>
      <c r="G14" s="6" t="s">
        <v>97</v>
      </c>
      <c r="H14" s="6" t="s">
        <v>20</v>
      </c>
      <c r="I14" s="6" t="s">
        <v>21</v>
      </c>
      <c r="J14" s="6" t="s">
        <v>22</v>
      </c>
      <c r="K14" s="8">
        <v>980000</v>
      </c>
      <c r="L14" s="8" t="s">
        <v>61</v>
      </c>
      <c r="M14" s="8">
        <v>400000</v>
      </c>
      <c r="N14" s="8">
        <v>580000</v>
      </c>
      <c r="O14" s="6" t="s">
        <v>23</v>
      </c>
      <c r="P14" s="4"/>
    </row>
    <row r="15" spans="1:16" ht="16" x14ac:dyDescent="0.4">
      <c r="A15" s="12">
        <v>14</v>
      </c>
      <c r="B15" s="13" t="s">
        <v>98</v>
      </c>
      <c r="C15" s="13" t="s">
        <v>99</v>
      </c>
      <c r="D15" s="13" t="s">
        <v>100</v>
      </c>
      <c r="E15" s="13" t="s">
        <v>101</v>
      </c>
      <c r="F15" s="13" t="s">
        <v>28</v>
      </c>
      <c r="G15" s="13" t="s">
        <v>102</v>
      </c>
      <c r="H15" s="13" t="s">
        <v>20</v>
      </c>
      <c r="I15" s="13" t="s">
        <v>21</v>
      </c>
      <c r="J15" s="13" t="s">
        <v>103</v>
      </c>
      <c r="K15" s="15">
        <v>890000</v>
      </c>
      <c r="L15" s="15" t="s">
        <v>61</v>
      </c>
      <c r="M15" s="15">
        <v>0</v>
      </c>
      <c r="N15" s="15">
        <v>0</v>
      </c>
      <c r="O15" s="13" t="s">
        <v>23</v>
      </c>
      <c r="P15" s="16"/>
    </row>
    <row r="16" spans="1:16" ht="16" x14ac:dyDescent="0.4">
      <c r="A16" s="5">
        <v>15</v>
      </c>
      <c r="B16" s="6" t="s">
        <v>104</v>
      </c>
      <c r="C16" s="6" t="s">
        <v>105</v>
      </c>
      <c r="D16" s="6" t="s">
        <v>106</v>
      </c>
      <c r="E16" s="9" t="s">
        <v>107</v>
      </c>
      <c r="F16" s="6" t="s">
        <v>28</v>
      </c>
      <c r="G16" s="6" t="s">
        <v>108</v>
      </c>
      <c r="H16" s="6" t="s">
        <v>109</v>
      </c>
      <c r="I16" s="6" t="s">
        <v>110</v>
      </c>
      <c r="J16" s="6" t="s">
        <v>22</v>
      </c>
      <c r="K16" s="8">
        <v>980000</v>
      </c>
      <c r="L16" s="8" t="s">
        <v>61</v>
      </c>
      <c r="M16" s="8">
        <v>420000</v>
      </c>
      <c r="N16" s="8"/>
      <c r="O16" s="6" t="s">
        <v>23</v>
      </c>
      <c r="P16" s="4"/>
    </row>
    <row r="17" spans="1:16" ht="16" x14ac:dyDescent="0.4">
      <c r="A17" s="5">
        <v>16</v>
      </c>
      <c r="B17" s="6" t="s">
        <v>111</v>
      </c>
      <c r="C17" s="6" t="s">
        <v>112</v>
      </c>
      <c r="D17" s="6">
        <v>999100480</v>
      </c>
      <c r="E17" s="9" t="s">
        <v>113</v>
      </c>
      <c r="F17" s="6" t="s">
        <v>28</v>
      </c>
      <c r="G17" s="6" t="s">
        <v>114</v>
      </c>
      <c r="H17" s="6" t="s">
        <v>20</v>
      </c>
      <c r="I17" s="6" t="s">
        <v>21</v>
      </c>
      <c r="J17" s="6" t="s">
        <v>55</v>
      </c>
      <c r="K17" s="8">
        <v>980000</v>
      </c>
      <c r="L17" s="8" t="s">
        <v>61</v>
      </c>
      <c r="M17" s="8">
        <v>0</v>
      </c>
      <c r="N17" s="8">
        <v>0</v>
      </c>
      <c r="O17" s="6" t="s">
        <v>31</v>
      </c>
      <c r="P17" s="4"/>
    </row>
    <row r="18" spans="1:16" ht="16" x14ac:dyDescent="0.4">
      <c r="A18" s="5">
        <v>17</v>
      </c>
      <c r="B18" s="6" t="s">
        <v>115</v>
      </c>
      <c r="C18" s="6" t="s">
        <v>116</v>
      </c>
      <c r="D18" s="6" t="s">
        <v>117</v>
      </c>
      <c r="E18" s="9" t="s">
        <v>118</v>
      </c>
      <c r="F18" s="6" t="s">
        <v>28</v>
      </c>
      <c r="G18" s="6" t="s">
        <v>119</v>
      </c>
      <c r="H18" s="6" t="s">
        <v>20</v>
      </c>
      <c r="I18" s="6" t="s">
        <v>21</v>
      </c>
      <c r="J18" s="6" t="s">
        <v>22</v>
      </c>
      <c r="K18" s="8">
        <v>490000</v>
      </c>
      <c r="L18" s="8" t="s">
        <v>61</v>
      </c>
      <c r="M18" s="8">
        <v>420000</v>
      </c>
      <c r="N18" s="8">
        <v>580000</v>
      </c>
      <c r="O18" s="6" t="s">
        <v>23</v>
      </c>
      <c r="P18" s="4"/>
    </row>
    <row r="19" spans="1:16" ht="16" x14ac:dyDescent="0.4">
      <c r="A19" s="21">
        <v>18</v>
      </c>
      <c r="B19" s="22" t="s">
        <v>120</v>
      </c>
      <c r="C19" s="22" t="s">
        <v>121</v>
      </c>
      <c r="D19" s="22">
        <v>886599990</v>
      </c>
      <c r="E19" s="22" t="s">
        <v>122</v>
      </c>
      <c r="F19" s="22" t="s">
        <v>18</v>
      </c>
      <c r="G19" s="22" t="s">
        <v>123</v>
      </c>
      <c r="H19" s="22" t="s">
        <v>109</v>
      </c>
      <c r="I19" s="22" t="s">
        <v>110</v>
      </c>
      <c r="J19" s="22" t="s">
        <v>60</v>
      </c>
      <c r="K19" s="23">
        <v>980000</v>
      </c>
      <c r="L19" s="23" t="s">
        <v>61</v>
      </c>
      <c r="M19" s="23">
        <v>0</v>
      </c>
      <c r="N19" s="23">
        <v>0</v>
      </c>
      <c r="O19" s="22" t="s">
        <v>31</v>
      </c>
      <c r="P19" s="24"/>
    </row>
    <row r="20" spans="1:16" ht="16" x14ac:dyDescent="0.4">
      <c r="A20" s="5">
        <v>19</v>
      </c>
      <c r="B20" s="6" t="s">
        <v>124</v>
      </c>
      <c r="C20" s="6" t="s">
        <v>125</v>
      </c>
      <c r="D20" s="6">
        <v>999963709</v>
      </c>
      <c r="E20" s="6" t="s">
        <v>126</v>
      </c>
      <c r="F20" s="6" t="s">
        <v>28</v>
      </c>
      <c r="G20" s="6" t="s">
        <v>127</v>
      </c>
      <c r="H20" s="6" t="s">
        <v>20</v>
      </c>
      <c r="I20" s="6" t="s">
        <v>21</v>
      </c>
      <c r="J20" s="6" t="s">
        <v>60</v>
      </c>
      <c r="K20" s="8">
        <v>980000</v>
      </c>
      <c r="L20" s="8" t="s">
        <v>61</v>
      </c>
      <c r="M20" s="8">
        <v>420000</v>
      </c>
      <c r="N20" s="8"/>
      <c r="O20" s="6" t="s">
        <v>31</v>
      </c>
      <c r="P20" s="4"/>
    </row>
    <row r="21" spans="1:16" ht="16" x14ac:dyDescent="0.4">
      <c r="A21" s="5">
        <v>20</v>
      </c>
      <c r="B21" s="6" t="s">
        <v>128</v>
      </c>
      <c r="C21" s="6" t="s">
        <v>129</v>
      </c>
      <c r="D21" s="6" t="s">
        <v>130</v>
      </c>
      <c r="E21" s="6" t="s">
        <v>131</v>
      </c>
      <c r="F21" s="6" t="s">
        <v>51</v>
      </c>
      <c r="G21" s="6" t="s">
        <v>132</v>
      </c>
      <c r="H21" s="10">
        <v>45359</v>
      </c>
      <c r="I21" s="10">
        <v>45723</v>
      </c>
      <c r="J21" s="6" t="s">
        <v>22</v>
      </c>
      <c r="K21" s="8">
        <v>980000</v>
      </c>
      <c r="L21" s="8" t="s">
        <v>61</v>
      </c>
      <c r="M21" s="8">
        <v>0</v>
      </c>
      <c r="N21" s="8">
        <v>0</v>
      </c>
      <c r="O21" s="6" t="s">
        <v>31</v>
      </c>
      <c r="P21" s="4"/>
    </row>
    <row r="22" spans="1:16" ht="16" x14ac:dyDescent="0.4">
      <c r="A22" s="5">
        <v>21</v>
      </c>
      <c r="B22" s="6" t="s">
        <v>133</v>
      </c>
      <c r="C22" s="6" t="s">
        <v>134</v>
      </c>
      <c r="D22" s="6" t="s">
        <v>135</v>
      </c>
      <c r="E22" s="9" t="s">
        <v>136</v>
      </c>
      <c r="F22" s="6" t="s">
        <v>28</v>
      </c>
      <c r="G22" s="6" t="s">
        <v>137</v>
      </c>
      <c r="H22" s="10">
        <v>44359</v>
      </c>
      <c r="I22" s="10">
        <v>44693</v>
      </c>
      <c r="J22" s="6" t="s">
        <v>30</v>
      </c>
      <c r="K22" s="8">
        <v>490000</v>
      </c>
      <c r="L22" s="8" t="s">
        <v>61</v>
      </c>
      <c r="M22" s="8">
        <v>0</v>
      </c>
      <c r="N22" s="8">
        <v>0</v>
      </c>
      <c r="O22" s="6" t="s">
        <v>31</v>
      </c>
      <c r="P22" s="4"/>
    </row>
    <row r="23" spans="1:16" ht="16" x14ac:dyDescent="0.4">
      <c r="A23" s="5">
        <v>22</v>
      </c>
      <c r="B23" s="6" t="s">
        <v>138</v>
      </c>
      <c r="C23" s="6" t="s">
        <v>139</v>
      </c>
      <c r="D23" s="6" t="s">
        <v>140</v>
      </c>
      <c r="E23" s="6" t="s">
        <v>141</v>
      </c>
      <c r="F23" s="6" t="s">
        <v>18</v>
      </c>
      <c r="G23" s="6" t="s">
        <v>142</v>
      </c>
      <c r="H23" s="6" t="s">
        <v>37</v>
      </c>
      <c r="I23" s="6" t="s">
        <v>38</v>
      </c>
      <c r="J23" s="6" t="s">
        <v>143</v>
      </c>
      <c r="K23" s="8">
        <v>980000</v>
      </c>
      <c r="L23" s="8" t="s">
        <v>61</v>
      </c>
      <c r="M23" s="8">
        <v>520000</v>
      </c>
      <c r="N23" s="8"/>
      <c r="O23" s="6" t="s">
        <v>23</v>
      </c>
      <c r="P23" s="4"/>
    </row>
    <row r="24" spans="1:16" ht="16" x14ac:dyDescent="0.4">
      <c r="A24" s="5">
        <v>23</v>
      </c>
      <c r="B24" s="6" t="s">
        <v>144</v>
      </c>
      <c r="C24" s="6" t="s">
        <v>145</v>
      </c>
      <c r="D24" s="6" t="s">
        <v>146</v>
      </c>
      <c r="E24" s="9" t="s">
        <v>147</v>
      </c>
      <c r="F24" s="6" t="s">
        <v>148</v>
      </c>
      <c r="G24" s="6" t="s">
        <v>149</v>
      </c>
      <c r="H24" s="6" t="s">
        <v>53</v>
      </c>
      <c r="I24" s="6" t="s">
        <v>54</v>
      </c>
      <c r="J24" s="6" t="s">
        <v>143</v>
      </c>
      <c r="K24" s="8">
        <v>980000</v>
      </c>
      <c r="L24" s="8" t="s">
        <v>61</v>
      </c>
      <c r="M24" s="8">
        <v>490000</v>
      </c>
      <c r="N24" s="8"/>
      <c r="O24" s="6" t="s">
        <v>23</v>
      </c>
      <c r="P24" s="4"/>
    </row>
    <row r="25" spans="1:16" ht="16" x14ac:dyDescent="0.4">
      <c r="A25" s="5">
        <v>24</v>
      </c>
      <c r="B25" s="6" t="s">
        <v>150</v>
      </c>
      <c r="C25" s="6" t="s">
        <v>151</v>
      </c>
      <c r="D25" s="6">
        <v>993910646</v>
      </c>
      <c r="E25" s="6" t="s">
        <v>152</v>
      </c>
      <c r="F25" s="6" t="s">
        <v>28</v>
      </c>
      <c r="G25" s="6" t="s">
        <v>153</v>
      </c>
      <c r="H25" s="6" t="s">
        <v>37</v>
      </c>
      <c r="I25" s="6" t="s">
        <v>38</v>
      </c>
      <c r="J25" s="6" t="s">
        <v>154</v>
      </c>
      <c r="K25" s="8">
        <v>400000</v>
      </c>
      <c r="L25" s="8" t="s">
        <v>61</v>
      </c>
      <c r="M25" s="8">
        <v>0</v>
      </c>
      <c r="N25" s="8">
        <v>0</v>
      </c>
      <c r="O25" s="6" t="s">
        <v>23</v>
      </c>
      <c r="P25" s="4"/>
    </row>
    <row r="26" spans="1:16" ht="16" x14ac:dyDescent="0.4">
      <c r="A26" s="5">
        <v>25</v>
      </c>
      <c r="B26" s="6" t="s">
        <v>155</v>
      </c>
      <c r="C26" s="6" t="s">
        <v>156</v>
      </c>
      <c r="D26" s="6" t="s">
        <v>157</v>
      </c>
      <c r="E26" s="6"/>
      <c r="F26" s="6" t="s">
        <v>18</v>
      </c>
      <c r="G26" s="6" t="s">
        <v>158</v>
      </c>
      <c r="H26" s="6" t="s">
        <v>37</v>
      </c>
      <c r="I26" s="6" t="s">
        <v>38</v>
      </c>
      <c r="J26" s="6" t="s">
        <v>154</v>
      </c>
      <c r="K26" s="8">
        <v>980000</v>
      </c>
      <c r="L26" s="8" t="s">
        <v>61</v>
      </c>
      <c r="M26" s="8">
        <v>0</v>
      </c>
      <c r="N26" s="8">
        <v>0</v>
      </c>
      <c r="O26" s="6" t="s">
        <v>23</v>
      </c>
      <c r="P26" s="4"/>
    </row>
    <row r="27" spans="1:16" ht="16" x14ac:dyDescent="0.4">
      <c r="A27" s="5">
        <v>26</v>
      </c>
      <c r="B27" s="6" t="s">
        <v>159</v>
      </c>
      <c r="C27" s="6" t="s">
        <v>160</v>
      </c>
      <c r="D27" s="6" t="s">
        <v>161</v>
      </c>
      <c r="E27" s="6" t="s">
        <v>162</v>
      </c>
      <c r="F27" s="6" t="s">
        <v>28</v>
      </c>
      <c r="G27" s="6" t="s">
        <v>163</v>
      </c>
      <c r="H27" s="10">
        <v>44359</v>
      </c>
      <c r="I27" s="10">
        <v>44693</v>
      </c>
      <c r="J27" s="6" t="s">
        <v>154</v>
      </c>
      <c r="K27" s="8">
        <v>980000</v>
      </c>
      <c r="L27" s="8" t="s">
        <v>61</v>
      </c>
      <c r="M27" s="8">
        <v>0</v>
      </c>
      <c r="N27" s="8">
        <v>0</v>
      </c>
      <c r="O27" s="6" t="s">
        <v>31</v>
      </c>
      <c r="P27" s="4"/>
    </row>
    <row r="28" spans="1:16" ht="16" x14ac:dyDescent="0.4">
      <c r="A28" s="12">
        <v>27</v>
      </c>
      <c r="B28" s="13" t="s">
        <v>164</v>
      </c>
      <c r="C28" s="13" t="s">
        <v>165</v>
      </c>
      <c r="D28" s="13" t="s">
        <v>166</v>
      </c>
      <c r="E28" s="13" t="s">
        <v>167</v>
      </c>
      <c r="F28" s="13" t="s">
        <v>28</v>
      </c>
      <c r="G28" s="13" t="s">
        <v>168</v>
      </c>
      <c r="H28" s="25">
        <v>44377</v>
      </c>
      <c r="I28" s="25">
        <v>44741</v>
      </c>
      <c r="J28" s="13" t="s">
        <v>154</v>
      </c>
      <c r="K28" s="15">
        <v>600000</v>
      </c>
      <c r="L28" s="15" t="s">
        <v>61</v>
      </c>
      <c r="M28" s="15">
        <v>0</v>
      </c>
      <c r="N28" s="15">
        <v>0</v>
      </c>
      <c r="O28" s="13" t="s">
        <v>31</v>
      </c>
      <c r="P28" s="16"/>
    </row>
    <row r="29" spans="1:16" ht="16" x14ac:dyDescent="0.4">
      <c r="A29" s="5">
        <v>28</v>
      </c>
      <c r="B29" s="6" t="s">
        <v>169</v>
      </c>
      <c r="C29" s="6" t="s">
        <v>170</v>
      </c>
      <c r="D29" s="6">
        <v>998194499</v>
      </c>
      <c r="E29" s="9" t="s">
        <v>171</v>
      </c>
      <c r="F29" s="6" t="s">
        <v>148</v>
      </c>
      <c r="G29" s="6" t="s">
        <v>172</v>
      </c>
      <c r="H29" s="6" t="s">
        <v>53</v>
      </c>
      <c r="I29" s="6" t="s">
        <v>54</v>
      </c>
      <c r="J29" s="6" t="s">
        <v>22</v>
      </c>
      <c r="K29" s="8">
        <v>980000</v>
      </c>
      <c r="L29" s="8" t="s">
        <v>61</v>
      </c>
      <c r="M29" s="8">
        <v>580000</v>
      </c>
      <c r="N29" s="8"/>
      <c r="O29" s="6" t="s">
        <v>23</v>
      </c>
      <c r="P29" s="4"/>
    </row>
    <row r="30" spans="1:16" ht="16" x14ac:dyDescent="0.4">
      <c r="A30" s="26">
        <v>29</v>
      </c>
      <c r="B30" s="27" t="s">
        <v>173</v>
      </c>
      <c r="C30" s="27" t="s">
        <v>174</v>
      </c>
      <c r="D30" s="27" t="s">
        <v>175</v>
      </c>
      <c r="E30" s="28" t="s">
        <v>176</v>
      </c>
      <c r="F30" s="27" t="s">
        <v>18</v>
      </c>
      <c r="G30" s="27" t="s">
        <v>177</v>
      </c>
      <c r="H30" s="27" t="s">
        <v>37</v>
      </c>
      <c r="I30" s="27" t="s">
        <v>38</v>
      </c>
      <c r="J30" s="27" t="s">
        <v>178</v>
      </c>
      <c r="K30" s="29">
        <v>980000</v>
      </c>
      <c r="L30" s="29" t="s">
        <v>61</v>
      </c>
      <c r="M30" s="29">
        <v>0</v>
      </c>
      <c r="N30" s="29">
        <v>0</v>
      </c>
      <c r="O30" s="27" t="s">
        <v>31</v>
      </c>
      <c r="P30" s="30"/>
    </row>
    <row r="31" spans="1:16" ht="128" x14ac:dyDescent="0.4">
      <c r="A31" s="5">
        <v>30</v>
      </c>
      <c r="B31" s="31" t="s">
        <v>179</v>
      </c>
      <c r="C31" s="31" t="s">
        <v>180</v>
      </c>
      <c r="D31" s="32" t="s">
        <v>181</v>
      </c>
      <c r="E31" s="31" t="s">
        <v>182</v>
      </c>
      <c r="F31" s="6" t="s">
        <v>28</v>
      </c>
      <c r="G31" s="6" t="s">
        <v>183</v>
      </c>
      <c r="H31" s="6" t="s">
        <v>184</v>
      </c>
      <c r="I31" s="6" t="s">
        <v>185</v>
      </c>
      <c r="J31" s="6" t="s">
        <v>178</v>
      </c>
      <c r="K31" s="8">
        <v>980000</v>
      </c>
      <c r="L31" s="8" t="s">
        <v>61</v>
      </c>
      <c r="M31" s="8">
        <v>0</v>
      </c>
      <c r="N31" s="8">
        <v>0</v>
      </c>
      <c r="O31" s="6" t="s">
        <v>31</v>
      </c>
      <c r="P31" s="4"/>
    </row>
    <row r="32" spans="1:16" ht="16" x14ac:dyDescent="0.4">
      <c r="A32" s="12">
        <v>31</v>
      </c>
      <c r="B32" s="13" t="s">
        <v>186</v>
      </c>
      <c r="C32" s="13" t="s">
        <v>187</v>
      </c>
      <c r="D32" s="13">
        <v>888821137</v>
      </c>
      <c r="E32" s="14" t="s">
        <v>188</v>
      </c>
      <c r="F32" s="13" t="s">
        <v>28</v>
      </c>
      <c r="G32" s="13" t="s">
        <v>189</v>
      </c>
      <c r="H32" s="13" t="s">
        <v>37</v>
      </c>
      <c r="I32" s="13" t="s">
        <v>38</v>
      </c>
      <c r="J32" s="13" t="s">
        <v>55</v>
      </c>
      <c r="K32" s="15">
        <v>980000</v>
      </c>
      <c r="L32" s="15" t="s">
        <v>61</v>
      </c>
      <c r="M32" s="15"/>
      <c r="N32" s="15"/>
      <c r="O32" s="13" t="s">
        <v>31</v>
      </c>
      <c r="P32" s="16"/>
    </row>
    <row r="33" spans="1:16" ht="16" x14ac:dyDescent="0.4">
      <c r="A33" s="5">
        <v>32</v>
      </c>
      <c r="B33" s="6" t="s">
        <v>190</v>
      </c>
      <c r="C33" s="6" t="s">
        <v>191</v>
      </c>
      <c r="D33" s="6">
        <v>997700777</v>
      </c>
      <c r="E33" s="9" t="s">
        <v>192</v>
      </c>
      <c r="F33" s="6" t="s">
        <v>28</v>
      </c>
      <c r="G33" s="6" t="s">
        <v>193</v>
      </c>
      <c r="H33" s="6" t="s">
        <v>53</v>
      </c>
      <c r="I33" s="6" t="s">
        <v>54</v>
      </c>
      <c r="J33" s="6" t="s">
        <v>55</v>
      </c>
      <c r="K33" s="8">
        <v>490000</v>
      </c>
      <c r="L33" s="8" t="s">
        <v>61</v>
      </c>
      <c r="M33" s="8">
        <v>0</v>
      </c>
      <c r="N33" s="8">
        <v>0</v>
      </c>
      <c r="O33" s="6" t="s">
        <v>31</v>
      </c>
      <c r="P33" s="4"/>
    </row>
    <row r="34" spans="1:16" ht="16" x14ac:dyDescent="0.4">
      <c r="A34" s="5">
        <v>33</v>
      </c>
      <c r="B34" s="6" t="s">
        <v>194</v>
      </c>
      <c r="C34" s="6" t="s">
        <v>195</v>
      </c>
      <c r="D34" s="6" t="s">
        <v>196</v>
      </c>
      <c r="E34" s="9" t="s">
        <v>197</v>
      </c>
      <c r="F34" s="6" t="s">
        <v>28</v>
      </c>
      <c r="G34" s="6" t="s">
        <v>198</v>
      </c>
      <c r="H34" s="6" t="s">
        <v>37</v>
      </c>
      <c r="I34" s="6" t="s">
        <v>38</v>
      </c>
      <c r="J34" s="6" t="s">
        <v>22</v>
      </c>
      <c r="K34" s="8">
        <v>490000</v>
      </c>
      <c r="L34" s="8" t="s">
        <v>61</v>
      </c>
      <c r="M34" s="8">
        <v>0</v>
      </c>
      <c r="N34" s="8">
        <v>0</v>
      </c>
      <c r="O34" s="6" t="s">
        <v>23</v>
      </c>
      <c r="P34" s="4"/>
    </row>
    <row r="35" spans="1:16" ht="16" x14ac:dyDescent="0.4">
      <c r="A35" s="5">
        <v>34</v>
      </c>
      <c r="B35" s="6" t="s">
        <v>199</v>
      </c>
      <c r="C35" s="6" t="s">
        <v>200</v>
      </c>
      <c r="D35" s="6" t="s">
        <v>201</v>
      </c>
      <c r="E35" s="9" t="s">
        <v>202</v>
      </c>
      <c r="F35" s="6" t="s">
        <v>18</v>
      </c>
      <c r="G35" s="6" t="s">
        <v>203</v>
      </c>
      <c r="H35" s="6" t="s">
        <v>204</v>
      </c>
      <c r="I35" s="6" t="s">
        <v>205</v>
      </c>
      <c r="J35" s="6" t="s">
        <v>55</v>
      </c>
      <c r="K35" s="8">
        <v>980000</v>
      </c>
      <c r="L35" s="8" t="s">
        <v>61</v>
      </c>
      <c r="M35" s="8">
        <v>400000</v>
      </c>
      <c r="N35" s="8">
        <v>0</v>
      </c>
      <c r="O35" s="6" t="s">
        <v>23</v>
      </c>
      <c r="P35" s="4"/>
    </row>
    <row r="36" spans="1:16" ht="16" x14ac:dyDescent="0.4">
      <c r="A36" s="5">
        <v>35</v>
      </c>
      <c r="B36" s="6" t="s">
        <v>206</v>
      </c>
      <c r="C36" s="6" t="s">
        <v>207</v>
      </c>
      <c r="D36" s="6" t="s">
        <v>208</v>
      </c>
      <c r="E36" s="9" t="s">
        <v>209</v>
      </c>
      <c r="F36" s="6" t="s">
        <v>28</v>
      </c>
      <c r="G36" s="6" t="s">
        <v>210</v>
      </c>
      <c r="H36" s="6" t="s">
        <v>77</v>
      </c>
      <c r="I36" s="6" t="s">
        <v>78</v>
      </c>
      <c r="J36" s="6" t="s">
        <v>22</v>
      </c>
      <c r="K36" s="8">
        <v>980000</v>
      </c>
      <c r="L36" s="8" t="s">
        <v>61</v>
      </c>
      <c r="M36" s="8">
        <v>580000</v>
      </c>
      <c r="N36" s="8">
        <v>0</v>
      </c>
      <c r="O36" s="6" t="s">
        <v>23</v>
      </c>
      <c r="P36" s="4"/>
    </row>
    <row r="37" spans="1:16" ht="16" x14ac:dyDescent="0.4">
      <c r="A37" s="12">
        <v>36</v>
      </c>
      <c r="B37" s="13" t="s">
        <v>211</v>
      </c>
      <c r="C37" s="13" t="s">
        <v>212</v>
      </c>
      <c r="D37" s="13" t="s">
        <v>213</v>
      </c>
      <c r="E37" s="14" t="s">
        <v>214</v>
      </c>
      <c r="F37" s="13" t="s">
        <v>18</v>
      </c>
      <c r="G37" s="13" t="s">
        <v>215</v>
      </c>
      <c r="H37" s="13" t="s">
        <v>37</v>
      </c>
      <c r="I37" s="13" t="s">
        <v>38</v>
      </c>
      <c r="J37" s="13" t="s">
        <v>154</v>
      </c>
      <c r="K37" s="15">
        <v>980000</v>
      </c>
      <c r="L37" s="15" t="s">
        <v>61</v>
      </c>
      <c r="M37" s="15">
        <v>0</v>
      </c>
      <c r="N37" s="15">
        <v>0</v>
      </c>
      <c r="O37" s="13" t="s">
        <v>31</v>
      </c>
      <c r="P37" s="16"/>
    </row>
    <row r="38" spans="1:16" ht="16" x14ac:dyDescent="0.4">
      <c r="A38" s="5">
        <v>37</v>
      </c>
      <c r="B38" s="6" t="s">
        <v>216</v>
      </c>
      <c r="C38" s="6" t="s">
        <v>217</v>
      </c>
      <c r="D38" s="6" t="s">
        <v>218</v>
      </c>
      <c r="E38" s="9" t="s">
        <v>219</v>
      </c>
      <c r="F38" s="6" t="s">
        <v>28</v>
      </c>
      <c r="G38" s="6" t="s">
        <v>220</v>
      </c>
      <c r="H38" s="6" t="s">
        <v>77</v>
      </c>
      <c r="I38" s="6" t="s">
        <v>78</v>
      </c>
      <c r="J38" s="6" t="s">
        <v>221</v>
      </c>
      <c r="K38" s="8">
        <v>980000</v>
      </c>
      <c r="L38" s="8" t="s">
        <v>61</v>
      </c>
      <c r="M38" s="8">
        <v>0</v>
      </c>
      <c r="N38" s="8">
        <v>0</v>
      </c>
      <c r="O38" s="6" t="s">
        <v>31</v>
      </c>
      <c r="P38" s="4"/>
    </row>
    <row r="39" spans="1:16" ht="62.5" x14ac:dyDescent="0.4">
      <c r="A39" s="5">
        <v>38</v>
      </c>
      <c r="B39" s="6" t="s">
        <v>222</v>
      </c>
      <c r="C39" s="6" t="s">
        <v>223</v>
      </c>
      <c r="D39" s="32" t="s">
        <v>224</v>
      </c>
      <c r="E39" s="6" t="s">
        <v>86</v>
      </c>
      <c r="F39" s="6" t="s">
        <v>28</v>
      </c>
      <c r="G39" s="6" t="s">
        <v>225</v>
      </c>
      <c r="H39" s="6" t="s">
        <v>53</v>
      </c>
      <c r="I39" s="6" t="s">
        <v>54</v>
      </c>
      <c r="J39" s="6" t="s">
        <v>22</v>
      </c>
      <c r="K39" s="8">
        <v>980000</v>
      </c>
      <c r="L39" s="8" t="s">
        <v>61</v>
      </c>
      <c r="M39" s="8">
        <v>580000</v>
      </c>
      <c r="N39" s="8">
        <v>0</v>
      </c>
      <c r="O39" s="6" t="s">
        <v>23</v>
      </c>
      <c r="P39" s="4"/>
    </row>
    <row r="40" spans="1:16" ht="31" x14ac:dyDescent="0.4">
      <c r="A40" s="5">
        <v>39</v>
      </c>
      <c r="B40" s="6" t="s">
        <v>226</v>
      </c>
      <c r="C40" s="6" t="s">
        <v>227</v>
      </c>
      <c r="D40" s="33" t="s">
        <v>228</v>
      </c>
      <c r="E40" s="6" t="s">
        <v>229</v>
      </c>
      <c r="F40" s="6" t="s">
        <v>51</v>
      </c>
      <c r="G40" s="6" t="s">
        <v>230</v>
      </c>
      <c r="H40" s="10">
        <v>44833</v>
      </c>
      <c r="I40" s="10">
        <v>45197</v>
      </c>
      <c r="J40" s="6" t="s">
        <v>86</v>
      </c>
      <c r="K40" s="8">
        <v>980000</v>
      </c>
      <c r="L40" s="8" t="s">
        <v>61</v>
      </c>
      <c r="M40" s="8">
        <v>580000</v>
      </c>
      <c r="N40" s="8">
        <v>0</v>
      </c>
      <c r="O40" s="6" t="s">
        <v>23</v>
      </c>
      <c r="P40" s="4"/>
    </row>
    <row r="41" spans="1:16" ht="16" x14ac:dyDescent="0.4">
      <c r="A41" s="5">
        <v>40</v>
      </c>
      <c r="B41" s="6" t="s">
        <v>231</v>
      </c>
      <c r="C41" s="6" t="s">
        <v>232</v>
      </c>
      <c r="D41" s="6" t="s">
        <v>233</v>
      </c>
      <c r="E41" s="6" t="s">
        <v>234</v>
      </c>
      <c r="F41" s="6" t="s">
        <v>28</v>
      </c>
      <c r="G41" s="6" t="s">
        <v>168</v>
      </c>
      <c r="H41" s="6" t="s">
        <v>53</v>
      </c>
      <c r="I41" s="6" t="s">
        <v>54</v>
      </c>
      <c r="J41" s="6" t="s">
        <v>55</v>
      </c>
      <c r="K41" s="8">
        <v>980000</v>
      </c>
      <c r="L41" s="8" t="s">
        <v>61</v>
      </c>
      <c r="M41" s="8">
        <v>400000</v>
      </c>
      <c r="N41" s="8">
        <v>0</v>
      </c>
      <c r="O41" s="6" t="s">
        <v>23</v>
      </c>
      <c r="P41" s="4"/>
    </row>
    <row r="42" spans="1:16" ht="16" x14ac:dyDescent="0.4">
      <c r="A42" s="5">
        <v>41</v>
      </c>
      <c r="B42" s="6" t="s">
        <v>235</v>
      </c>
      <c r="C42" s="6" t="s">
        <v>236</v>
      </c>
      <c r="D42" s="6" t="s">
        <v>237</v>
      </c>
      <c r="E42" s="6" t="s">
        <v>238</v>
      </c>
      <c r="F42" s="6" t="s">
        <v>18</v>
      </c>
      <c r="G42" s="6" t="s">
        <v>239</v>
      </c>
      <c r="H42" s="6" t="s">
        <v>20</v>
      </c>
      <c r="I42" s="6" t="s">
        <v>21</v>
      </c>
      <c r="J42" s="6" t="s">
        <v>22</v>
      </c>
      <c r="K42" s="8">
        <v>980000</v>
      </c>
      <c r="L42" s="8" t="s">
        <v>61</v>
      </c>
      <c r="M42" s="8">
        <v>420000</v>
      </c>
      <c r="N42" s="8">
        <v>0</v>
      </c>
      <c r="O42" s="6" t="s">
        <v>23</v>
      </c>
      <c r="P42" s="4"/>
    </row>
    <row r="43" spans="1:16" ht="16" x14ac:dyDescent="0.4">
      <c r="A43" s="5">
        <v>42</v>
      </c>
      <c r="B43" s="17" t="s">
        <v>240</v>
      </c>
      <c r="C43" s="17" t="s">
        <v>241</v>
      </c>
      <c r="D43" s="17">
        <v>999951220</v>
      </c>
      <c r="E43" s="18" t="s">
        <v>242</v>
      </c>
      <c r="F43" s="17" t="s">
        <v>18</v>
      </c>
      <c r="G43" s="17" t="s">
        <v>243</v>
      </c>
      <c r="H43" s="17" t="s">
        <v>20</v>
      </c>
      <c r="I43" s="17" t="s">
        <v>21</v>
      </c>
      <c r="J43" s="17" t="s">
        <v>22</v>
      </c>
      <c r="K43" s="19">
        <v>980000</v>
      </c>
      <c r="L43" s="19"/>
      <c r="M43" s="19">
        <v>980000</v>
      </c>
      <c r="N43" s="19">
        <v>420000</v>
      </c>
      <c r="O43" s="6" t="s">
        <v>23</v>
      </c>
    </row>
    <row r="44" spans="1:16" ht="16" x14ac:dyDescent="0.4">
      <c r="A44" s="5">
        <v>43</v>
      </c>
      <c r="B44" s="6" t="s">
        <v>244</v>
      </c>
      <c r="C44" s="6" t="s">
        <v>245</v>
      </c>
      <c r="D44" s="6" t="s">
        <v>246</v>
      </c>
      <c r="E44" s="9" t="s">
        <v>247</v>
      </c>
      <c r="F44" s="6" t="s">
        <v>28</v>
      </c>
      <c r="G44" s="6" t="s">
        <v>248</v>
      </c>
      <c r="H44" s="10">
        <v>45359</v>
      </c>
      <c r="I44" s="10">
        <v>45723</v>
      </c>
      <c r="J44" s="17" t="s">
        <v>22</v>
      </c>
      <c r="K44" s="8">
        <v>980000</v>
      </c>
      <c r="L44" s="8" t="s">
        <v>61</v>
      </c>
      <c r="M44" s="8">
        <v>420000</v>
      </c>
      <c r="N44" s="8">
        <v>0</v>
      </c>
      <c r="O44" s="6" t="s">
        <v>23</v>
      </c>
      <c r="P44" s="4"/>
    </row>
    <row r="45" spans="1:16" ht="16" x14ac:dyDescent="0.4">
      <c r="A45" s="5">
        <v>44</v>
      </c>
      <c r="B45" s="6" t="s">
        <v>249</v>
      </c>
      <c r="C45" s="6" t="s">
        <v>250</v>
      </c>
      <c r="D45" s="6" t="s">
        <v>251</v>
      </c>
      <c r="E45" s="6" t="s">
        <v>252</v>
      </c>
      <c r="F45" s="6" t="s">
        <v>18</v>
      </c>
      <c r="G45" s="6" t="s">
        <v>253</v>
      </c>
      <c r="H45" s="6" t="s">
        <v>204</v>
      </c>
      <c r="I45" s="6" t="s">
        <v>205</v>
      </c>
      <c r="J45" s="6"/>
      <c r="K45" s="8">
        <v>980000</v>
      </c>
      <c r="L45" s="8" t="s">
        <v>61</v>
      </c>
      <c r="M45" s="8">
        <v>580000</v>
      </c>
      <c r="N45" s="8">
        <v>0</v>
      </c>
      <c r="O45" s="6" t="s">
        <v>23</v>
      </c>
      <c r="P45" s="4"/>
    </row>
    <row r="46" spans="1:16" ht="16" x14ac:dyDescent="0.4">
      <c r="A46" s="26">
        <v>45</v>
      </c>
      <c r="B46" s="27" t="s">
        <v>254</v>
      </c>
      <c r="C46" s="27" t="s">
        <v>255</v>
      </c>
      <c r="D46" s="27">
        <v>995216690</v>
      </c>
      <c r="E46" s="27" t="s">
        <v>256</v>
      </c>
      <c r="F46" s="27" t="s">
        <v>28</v>
      </c>
      <c r="G46" s="27" t="s">
        <v>257</v>
      </c>
      <c r="H46" s="27" t="s">
        <v>20</v>
      </c>
      <c r="I46" s="27" t="s">
        <v>21</v>
      </c>
      <c r="J46" s="27" t="s">
        <v>55</v>
      </c>
      <c r="K46" s="29">
        <v>400000</v>
      </c>
      <c r="L46" s="29" t="s">
        <v>61</v>
      </c>
      <c r="M46" s="29">
        <v>0</v>
      </c>
      <c r="N46" s="29">
        <v>0</v>
      </c>
      <c r="O46" s="27" t="s">
        <v>31</v>
      </c>
      <c r="P46" s="30"/>
    </row>
    <row r="47" spans="1:16" ht="31" x14ac:dyDescent="0.4">
      <c r="A47" s="26">
        <v>46</v>
      </c>
      <c r="B47" s="27" t="s">
        <v>258</v>
      </c>
      <c r="C47" s="27" t="s">
        <v>259</v>
      </c>
      <c r="D47" s="34" t="s">
        <v>260</v>
      </c>
      <c r="E47" s="28" t="s">
        <v>261</v>
      </c>
      <c r="F47" s="27" t="s">
        <v>28</v>
      </c>
      <c r="G47" s="27" t="s">
        <v>262</v>
      </c>
      <c r="H47" s="27" t="s">
        <v>109</v>
      </c>
      <c r="I47" s="27" t="s">
        <v>110</v>
      </c>
      <c r="J47" s="27" t="s">
        <v>55</v>
      </c>
      <c r="K47" s="29">
        <v>980000</v>
      </c>
      <c r="L47" s="29" t="s">
        <v>61</v>
      </c>
      <c r="M47" s="29">
        <v>420000</v>
      </c>
      <c r="N47" s="29">
        <v>0</v>
      </c>
      <c r="O47" s="27" t="s">
        <v>23</v>
      </c>
      <c r="P47" s="30"/>
    </row>
    <row r="48" spans="1:16" ht="16" x14ac:dyDescent="0.4">
      <c r="A48" s="26">
        <v>47</v>
      </c>
      <c r="B48" s="27" t="s">
        <v>263</v>
      </c>
      <c r="C48" s="27" t="s">
        <v>264</v>
      </c>
      <c r="D48" s="27" t="s">
        <v>265</v>
      </c>
      <c r="E48" s="28" t="s">
        <v>266</v>
      </c>
      <c r="F48" s="27" t="s">
        <v>18</v>
      </c>
      <c r="G48" s="27" t="s">
        <v>267</v>
      </c>
      <c r="H48" s="27" t="s">
        <v>20</v>
      </c>
      <c r="I48" s="27" t="s">
        <v>21</v>
      </c>
      <c r="J48" s="27" t="s">
        <v>55</v>
      </c>
      <c r="K48" s="29">
        <v>980000</v>
      </c>
      <c r="L48" s="29" t="s">
        <v>61</v>
      </c>
      <c r="M48" s="29">
        <v>0</v>
      </c>
      <c r="N48" s="29">
        <v>0</v>
      </c>
      <c r="O48" s="27" t="s">
        <v>31</v>
      </c>
      <c r="P48" s="30"/>
    </row>
    <row r="49" spans="1:16" ht="31" x14ac:dyDescent="0.4">
      <c r="A49" s="5">
        <v>48</v>
      </c>
      <c r="B49" s="6" t="s">
        <v>268</v>
      </c>
      <c r="C49" s="6" t="s">
        <v>269</v>
      </c>
      <c r="D49" s="35" t="s">
        <v>270</v>
      </c>
      <c r="E49" s="36" t="s">
        <v>271</v>
      </c>
      <c r="F49" s="6" t="s">
        <v>272</v>
      </c>
      <c r="G49" s="6" t="s">
        <v>273</v>
      </c>
      <c r="H49" s="10">
        <v>44833</v>
      </c>
      <c r="I49" s="10">
        <v>45197</v>
      </c>
      <c r="J49" s="6" t="s">
        <v>55</v>
      </c>
      <c r="K49" s="8">
        <v>750000</v>
      </c>
      <c r="L49" s="8" t="s">
        <v>61</v>
      </c>
      <c r="M49" s="8">
        <v>420000</v>
      </c>
      <c r="N49" s="8">
        <v>0</v>
      </c>
      <c r="O49" s="6" t="s">
        <v>23</v>
      </c>
      <c r="P49" s="4"/>
    </row>
    <row r="50" spans="1:16" ht="16" x14ac:dyDescent="0.4">
      <c r="A50" s="5">
        <v>49</v>
      </c>
      <c r="B50" s="6" t="s">
        <v>274</v>
      </c>
      <c r="C50" s="6" t="s">
        <v>275</v>
      </c>
      <c r="D50" s="6" t="s">
        <v>276</v>
      </c>
      <c r="E50" s="9" t="s">
        <v>277</v>
      </c>
      <c r="F50" s="6" t="s">
        <v>28</v>
      </c>
      <c r="G50" s="6" t="s">
        <v>278</v>
      </c>
      <c r="H50" s="6" t="s">
        <v>109</v>
      </c>
      <c r="I50" s="6" t="s">
        <v>110</v>
      </c>
      <c r="J50" s="6" t="s">
        <v>22</v>
      </c>
      <c r="K50" s="8">
        <v>980000</v>
      </c>
      <c r="L50" s="8" t="s">
        <v>61</v>
      </c>
      <c r="M50" s="8">
        <v>420000</v>
      </c>
      <c r="N50" s="8">
        <v>0</v>
      </c>
      <c r="O50" s="6" t="s">
        <v>23</v>
      </c>
      <c r="P50" s="4"/>
    </row>
    <row r="51" spans="1:16" ht="16" x14ac:dyDescent="0.4">
      <c r="A51" s="5">
        <v>50</v>
      </c>
      <c r="B51" s="6" t="s">
        <v>279</v>
      </c>
      <c r="C51" s="6" t="s">
        <v>280</v>
      </c>
      <c r="D51" s="6">
        <v>997670143</v>
      </c>
      <c r="E51" s="9" t="s">
        <v>281</v>
      </c>
      <c r="F51" s="6" t="s">
        <v>282</v>
      </c>
      <c r="G51" s="6" t="s">
        <v>283</v>
      </c>
      <c r="H51" s="6" t="s">
        <v>109</v>
      </c>
      <c r="I51" s="6" t="s">
        <v>110</v>
      </c>
      <c r="J51" s="6" t="s">
        <v>22</v>
      </c>
      <c r="K51" s="8">
        <v>980000</v>
      </c>
      <c r="L51" s="8" t="s">
        <v>61</v>
      </c>
      <c r="M51" s="8">
        <v>580000</v>
      </c>
      <c r="N51" s="8">
        <v>0</v>
      </c>
      <c r="O51" s="6" t="s">
        <v>23</v>
      </c>
      <c r="P51" s="4"/>
    </row>
    <row r="52" spans="1:16" ht="16" x14ac:dyDescent="0.4">
      <c r="A52" s="5">
        <v>51</v>
      </c>
      <c r="B52" s="6" t="s">
        <v>284</v>
      </c>
      <c r="C52" s="6" t="s">
        <v>285</v>
      </c>
      <c r="D52" s="6" t="s">
        <v>286</v>
      </c>
      <c r="E52" s="9" t="s">
        <v>287</v>
      </c>
      <c r="F52" s="6" t="s">
        <v>18</v>
      </c>
      <c r="G52" s="6" t="s">
        <v>288</v>
      </c>
      <c r="H52" s="6" t="s">
        <v>53</v>
      </c>
      <c r="I52" s="6" t="s">
        <v>54</v>
      </c>
      <c r="J52" s="6" t="s">
        <v>22</v>
      </c>
      <c r="K52" s="8">
        <v>980000</v>
      </c>
      <c r="L52" s="8" t="s">
        <v>61</v>
      </c>
      <c r="M52" s="8">
        <v>580000</v>
      </c>
      <c r="N52" s="8">
        <v>0</v>
      </c>
      <c r="O52" s="6" t="s">
        <v>23</v>
      </c>
      <c r="P52" s="4"/>
    </row>
    <row r="53" spans="1:16" ht="16" x14ac:dyDescent="0.4">
      <c r="A53" s="5">
        <v>52</v>
      </c>
      <c r="B53" s="6" t="s">
        <v>289</v>
      </c>
      <c r="C53" s="6" t="s">
        <v>290</v>
      </c>
      <c r="D53" s="6" t="s">
        <v>291</v>
      </c>
      <c r="E53" s="9" t="s">
        <v>292</v>
      </c>
      <c r="F53" s="6" t="s">
        <v>18</v>
      </c>
      <c r="G53" s="6" t="s">
        <v>293</v>
      </c>
      <c r="H53" s="6" t="s">
        <v>109</v>
      </c>
      <c r="I53" s="6" t="s">
        <v>110</v>
      </c>
      <c r="J53" s="6" t="s">
        <v>22</v>
      </c>
      <c r="K53" s="8">
        <v>490000</v>
      </c>
      <c r="L53" s="8" t="s">
        <v>61</v>
      </c>
      <c r="M53" s="8">
        <v>210000</v>
      </c>
      <c r="N53" s="8">
        <v>0</v>
      </c>
      <c r="O53" s="6" t="s">
        <v>23</v>
      </c>
      <c r="P53" s="4"/>
    </row>
    <row r="54" spans="1:16" ht="16" x14ac:dyDescent="0.4">
      <c r="A54" s="5">
        <v>53</v>
      </c>
      <c r="B54" s="6" t="s">
        <v>294</v>
      </c>
      <c r="C54" s="6" t="s">
        <v>295</v>
      </c>
      <c r="D54" s="6" t="s">
        <v>296</v>
      </c>
      <c r="E54" s="9" t="s">
        <v>297</v>
      </c>
      <c r="F54" s="6" t="s">
        <v>28</v>
      </c>
      <c r="G54" s="6" t="s">
        <v>298</v>
      </c>
      <c r="H54" s="6" t="s">
        <v>20</v>
      </c>
      <c r="I54" s="6" t="s">
        <v>21</v>
      </c>
      <c r="J54" s="6" t="s">
        <v>55</v>
      </c>
      <c r="K54" s="8">
        <v>490000</v>
      </c>
      <c r="L54" s="8" t="s">
        <v>61</v>
      </c>
      <c r="M54" s="8">
        <v>580000</v>
      </c>
      <c r="N54" s="8">
        <v>0</v>
      </c>
      <c r="O54" s="6" t="s">
        <v>23</v>
      </c>
      <c r="P54" s="4"/>
    </row>
    <row r="55" spans="1:16" ht="62.5" x14ac:dyDescent="0.4">
      <c r="A55" s="5">
        <v>54</v>
      </c>
      <c r="B55" s="6" t="s">
        <v>299</v>
      </c>
      <c r="C55" s="6" t="s">
        <v>300</v>
      </c>
      <c r="D55" s="37" t="s">
        <v>301</v>
      </c>
      <c r="E55" s="36" t="s">
        <v>302</v>
      </c>
      <c r="F55" s="6" t="s">
        <v>28</v>
      </c>
      <c r="G55" s="6" t="s">
        <v>303</v>
      </c>
      <c r="H55" s="6" t="s">
        <v>86</v>
      </c>
      <c r="I55" s="6" t="s">
        <v>86</v>
      </c>
      <c r="J55" s="6" t="s">
        <v>86</v>
      </c>
      <c r="K55" s="8">
        <v>980000</v>
      </c>
      <c r="L55" s="8" t="s">
        <v>61</v>
      </c>
      <c r="M55" s="8">
        <v>0</v>
      </c>
      <c r="N55" s="8">
        <v>0</v>
      </c>
      <c r="O55" s="6" t="s">
        <v>31</v>
      </c>
      <c r="P55" s="4"/>
    </row>
    <row r="56" spans="1:16" ht="16" x14ac:dyDescent="0.4">
      <c r="A56" s="26">
        <v>55</v>
      </c>
      <c r="B56" s="27" t="s">
        <v>304</v>
      </c>
      <c r="C56" s="27" t="s">
        <v>305</v>
      </c>
      <c r="D56" s="27" t="s">
        <v>306</v>
      </c>
      <c r="E56" s="38" t="s">
        <v>307</v>
      </c>
      <c r="F56" s="27" t="s">
        <v>308</v>
      </c>
      <c r="G56" s="27" t="s">
        <v>309</v>
      </c>
      <c r="H56" s="27" t="s">
        <v>310</v>
      </c>
      <c r="I56" s="27" t="s">
        <v>311</v>
      </c>
      <c r="J56" s="27" t="s">
        <v>312</v>
      </c>
      <c r="K56" s="29">
        <v>490000</v>
      </c>
      <c r="L56" s="29" t="s">
        <v>61</v>
      </c>
      <c r="M56" s="29">
        <v>0</v>
      </c>
      <c r="N56" s="29">
        <v>0</v>
      </c>
      <c r="O56" s="27" t="s">
        <v>31</v>
      </c>
      <c r="P56" s="30"/>
    </row>
    <row r="57" spans="1:16" ht="16" x14ac:dyDescent="0.4">
      <c r="A57" s="5">
        <v>56</v>
      </c>
      <c r="B57" s="6" t="s">
        <v>313</v>
      </c>
      <c r="C57" s="6" t="s">
        <v>314</v>
      </c>
      <c r="D57" s="6">
        <v>888604260</v>
      </c>
      <c r="E57" s="6" t="s">
        <v>315</v>
      </c>
      <c r="F57" s="6" t="s">
        <v>18</v>
      </c>
      <c r="G57" s="6" t="s">
        <v>316</v>
      </c>
      <c r="H57" s="6" t="s">
        <v>310</v>
      </c>
      <c r="I57" s="6" t="s">
        <v>311</v>
      </c>
      <c r="J57" s="6" t="s">
        <v>55</v>
      </c>
      <c r="K57" s="8">
        <v>490000</v>
      </c>
      <c r="L57" s="8" t="s">
        <v>61</v>
      </c>
      <c r="M57" s="8">
        <v>0</v>
      </c>
      <c r="N57" s="8">
        <v>0</v>
      </c>
      <c r="O57" s="6" t="s">
        <v>31</v>
      </c>
      <c r="P57" s="4"/>
    </row>
    <row r="58" spans="1:16" ht="16" x14ac:dyDescent="0.4">
      <c r="A58" s="5">
        <v>57</v>
      </c>
      <c r="B58" s="6" t="s">
        <v>317</v>
      </c>
      <c r="C58" s="6" t="s">
        <v>318</v>
      </c>
      <c r="D58" s="6" t="s">
        <v>319</v>
      </c>
      <c r="E58" s="6" t="s">
        <v>320</v>
      </c>
      <c r="F58" s="6" t="s">
        <v>321</v>
      </c>
      <c r="G58" s="6" t="s">
        <v>322</v>
      </c>
      <c r="H58" s="6">
        <v>2021</v>
      </c>
      <c r="I58" s="6">
        <v>2022</v>
      </c>
      <c r="J58" s="6" t="s">
        <v>55</v>
      </c>
      <c r="K58" s="8">
        <v>490000</v>
      </c>
      <c r="L58" s="8" t="s">
        <v>61</v>
      </c>
      <c r="M58" s="8">
        <v>0</v>
      </c>
      <c r="N58" s="8">
        <v>0</v>
      </c>
      <c r="O58" s="6" t="s">
        <v>31</v>
      </c>
      <c r="P58" s="4" t="s">
        <v>323</v>
      </c>
    </row>
    <row r="59" spans="1:16" ht="16" x14ac:dyDescent="0.4">
      <c r="A59" s="5">
        <v>58</v>
      </c>
      <c r="B59" s="6" t="s">
        <v>324</v>
      </c>
      <c r="C59" s="6" t="s">
        <v>325</v>
      </c>
      <c r="D59" s="6" t="s">
        <v>86</v>
      </c>
      <c r="E59" s="6"/>
      <c r="F59" s="6" t="s">
        <v>18</v>
      </c>
      <c r="G59" s="6" t="s">
        <v>326</v>
      </c>
      <c r="H59" s="6" t="s">
        <v>86</v>
      </c>
      <c r="I59" s="6" t="s">
        <v>86</v>
      </c>
      <c r="J59" s="6" t="s">
        <v>55</v>
      </c>
      <c r="K59" s="8">
        <v>490000</v>
      </c>
      <c r="L59" s="8" t="s">
        <v>61</v>
      </c>
      <c r="M59" s="8">
        <v>0</v>
      </c>
      <c r="N59" s="8">
        <v>0</v>
      </c>
      <c r="O59" s="6" t="s">
        <v>31</v>
      </c>
      <c r="P59" s="4"/>
    </row>
    <row r="60" spans="1:16" ht="31" x14ac:dyDescent="0.4">
      <c r="A60" s="5">
        <v>59</v>
      </c>
      <c r="B60" s="6" t="s">
        <v>327</v>
      </c>
      <c r="C60" s="39" t="s">
        <v>328</v>
      </c>
      <c r="D60" s="35" t="s">
        <v>329</v>
      </c>
      <c r="E60" s="36" t="s">
        <v>330</v>
      </c>
      <c r="F60" s="6" t="s">
        <v>18</v>
      </c>
      <c r="G60" s="6" t="s">
        <v>331</v>
      </c>
      <c r="H60" s="6" t="s">
        <v>86</v>
      </c>
      <c r="I60" s="6" t="s">
        <v>86</v>
      </c>
      <c r="J60" s="6" t="s">
        <v>55</v>
      </c>
      <c r="K60" s="8">
        <v>980000</v>
      </c>
      <c r="L60" s="8" t="s">
        <v>61</v>
      </c>
      <c r="M60" s="8">
        <v>0</v>
      </c>
      <c r="N60" s="8">
        <v>0</v>
      </c>
      <c r="O60" s="6" t="s">
        <v>31</v>
      </c>
      <c r="P60" s="4"/>
    </row>
    <row r="61" spans="1:16" ht="46.5" x14ac:dyDescent="0.45">
      <c r="A61" s="5">
        <v>60</v>
      </c>
      <c r="B61" s="6" t="s">
        <v>332</v>
      </c>
      <c r="C61" s="6" t="s">
        <v>333</v>
      </c>
      <c r="D61" s="40" t="s">
        <v>334</v>
      </c>
      <c r="E61" s="41"/>
      <c r="F61" s="6" t="s">
        <v>51</v>
      </c>
      <c r="G61" s="6" t="s">
        <v>335</v>
      </c>
      <c r="H61" s="6" t="s">
        <v>310</v>
      </c>
      <c r="I61" s="6" t="s">
        <v>311</v>
      </c>
      <c r="J61" s="6" t="s">
        <v>30</v>
      </c>
      <c r="K61" s="8">
        <v>980000</v>
      </c>
      <c r="L61" s="8" t="s">
        <v>61</v>
      </c>
      <c r="M61" s="8" t="s">
        <v>61</v>
      </c>
      <c r="N61" s="42">
        <v>580000</v>
      </c>
      <c r="O61" s="6" t="s">
        <v>31</v>
      </c>
      <c r="P61" s="4"/>
    </row>
    <row r="62" spans="1:16" ht="62" x14ac:dyDescent="0.4">
      <c r="A62" s="5">
        <v>61</v>
      </c>
      <c r="B62" s="40" t="s">
        <v>336</v>
      </c>
      <c r="C62" s="40" t="s">
        <v>337</v>
      </c>
      <c r="D62" s="40" t="s">
        <v>338</v>
      </c>
      <c r="E62" s="43" t="s">
        <v>339</v>
      </c>
      <c r="F62" s="6" t="s">
        <v>28</v>
      </c>
      <c r="G62" s="6" t="s">
        <v>340</v>
      </c>
      <c r="H62" s="10">
        <v>44833</v>
      </c>
      <c r="I62" s="10">
        <v>45197</v>
      </c>
      <c r="J62" s="6" t="s">
        <v>341</v>
      </c>
      <c r="K62" s="8">
        <v>980000</v>
      </c>
      <c r="L62" s="8" t="s">
        <v>61</v>
      </c>
      <c r="M62" s="8" t="s">
        <v>61</v>
      </c>
      <c r="N62" s="8">
        <v>580000</v>
      </c>
      <c r="O62" s="6" t="s">
        <v>23</v>
      </c>
      <c r="P62" s="4"/>
    </row>
    <row r="63" spans="1:16" ht="124.5" x14ac:dyDescent="0.4">
      <c r="A63" s="5">
        <v>62</v>
      </c>
      <c r="B63" s="44" t="s">
        <v>342</v>
      </c>
      <c r="C63" s="44" t="s">
        <v>343</v>
      </c>
      <c r="D63" s="44" t="s">
        <v>344</v>
      </c>
      <c r="E63" s="45" t="s">
        <v>345</v>
      </c>
      <c r="F63" s="6" t="s">
        <v>28</v>
      </c>
      <c r="G63" s="6" t="s">
        <v>346</v>
      </c>
      <c r="H63" s="10">
        <v>44833</v>
      </c>
      <c r="I63" s="10">
        <v>45197</v>
      </c>
      <c r="J63" s="6" t="s">
        <v>341</v>
      </c>
      <c r="K63" s="8">
        <v>490000</v>
      </c>
      <c r="L63" s="8"/>
      <c r="M63" s="8"/>
      <c r="N63" s="8"/>
      <c r="O63" s="6" t="s">
        <v>23</v>
      </c>
      <c r="P63" s="4"/>
    </row>
    <row r="64" spans="1:16" ht="93" x14ac:dyDescent="0.4">
      <c r="A64" s="5">
        <v>63</v>
      </c>
      <c r="B64" s="40" t="s">
        <v>347</v>
      </c>
      <c r="C64" s="40" t="s">
        <v>348</v>
      </c>
      <c r="D64" s="40" t="s">
        <v>349</v>
      </c>
      <c r="E64" s="41"/>
      <c r="F64" s="6" t="s">
        <v>18</v>
      </c>
      <c r="G64" s="6" t="s">
        <v>350</v>
      </c>
      <c r="H64" s="10">
        <v>44833</v>
      </c>
      <c r="I64" s="10">
        <v>45197</v>
      </c>
      <c r="J64" s="6" t="s">
        <v>30</v>
      </c>
      <c r="K64" s="8">
        <v>490000</v>
      </c>
      <c r="L64" s="8" t="s">
        <v>61</v>
      </c>
      <c r="M64" s="8" t="s">
        <v>61</v>
      </c>
      <c r="N64" s="8">
        <v>0</v>
      </c>
      <c r="O64" s="6" t="s">
        <v>23</v>
      </c>
      <c r="P64" s="4"/>
    </row>
    <row r="65" spans="1:16" ht="31" x14ac:dyDescent="0.4">
      <c r="A65" s="5">
        <v>64</v>
      </c>
      <c r="B65" s="40" t="s">
        <v>351</v>
      </c>
      <c r="C65" s="40" t="s">
        <v>352</v>
      </c>
      <c r="D65" s="6" t="s">
        <v>353</v>
      </c>
      <c r="E65" s="46" t="s">
        <v>354</v>
      </c>
      <c r="F65" s="6" t="s">
        <v>18</v>
      </c>
      <c r="G65" s="6" t="s">
        <v>355</v>
      </c>
      <c r="H65" s="10">
        <v>44833</v>
      </c>
      <c r="I65" s="10">
        <v>45197</v>
      </c>
      <c r="J65" s="6" t="s">
        <v>30</v>
      </c>
      <c r="K65" s="8">
        <v>980000</v>
      </c>
      <c r="L65" s="8" t="s">
        <v>61</v>
      </c>
      <c r="M65" s="8" t="s">
        <v>61</v>
      </c>
      <c r="N65" s="8">
        <v>0</v>
      </c>
      <c r="O65" s="6" t="s">
        <v>23</v>
      </c>
      <c r="P65" s="4"/>
    </row>
    <row r="66" spans="1:16" ht="46.5" x14ac:dyDescent="0.4">
      <c r="A66" s="5">
        <v>65</v>
      </c>
      <c r="B66" s="6" t="s">
        <v>356</v>
      </c>
      <c r="C66" s="6" t="s">
        <v>357</v>
      </c>
      <c r="D66" s="40" t="s">
        <v>358</v>
      </c>
      <c r="E66" s="36" t="s">
        <v>359</v>
      </c>
      <c r="F66" s="6" t="s">
        <v>360</v>
      </c>
      <c r="G66" s="40" t="s">
        <v>361</v>
      </c>
      <c r="H66" s="10">
        <v>44833</v>
      </c>
      <c r="I66" s="10">
        <v>45197</v>
      </c>
      <c r="J66" s="40" t="s">
        <v>30</v>
      </c>
      <c r="K66" s="8">
        <v>490000</v>
      </c>
      <c r="L66" s="8" t="s">
        <v>61</v>
      </c>
      <c r="M66" s="8" t="s">
        <v>61</v>
      </c>
      <c r="N66" s="8">
        <v>0</v>
      </c>
      <c r="O66" s="6" t="s">
        <v>23</v>
      </c>
      <c r="P66" s="4"/>
    </row>
    <row r="67" spans="1:16" ht="48" x14ac:dyDescent="0.4">
      <c r="A67" s="5">
        <v>66</v>
      </c>
      <c r="B67" s="44" t="s">
        <v>362</v>
      </c>
      <c r="C67" s="44" t="s">
        <v>363</v>
      </c>
      <c r="D67" s="44" t="s">
        <v>364</v>
      </c>
      <c r="E67" s="45" t="s">
        <v>365</v>
      </c>
      <c r="F67" s="44" t="s">
        <v>28</v>
      </c>
      <c r="G67" s="44" t="s">
        <v>366</v>
      </c>
      <c r="H67" s="10">
        <v>44833</v>
      </c>
      <c r="I67" s="10">
        <v>45197</v>
      </c>
      <c r="J67" s="44" t="s">
        <v>30</v>
      </c>
      <c r="K67" s="8">
        <v>490000</v>
      </c>
      <c r="L67" s="8" t="s">
        <v>61</v>
      </c>
      <c r="M67" s="8" t="s">
        <v>61</v>
      </c>
      <c r="N67" s="8">
        <v>0</v>
      </c>
      <c r="O67" s="6" t="s">
        <v>23</v>
      </c>
      <c r="P67" s="4"/>
    </row>
    <row r="68" spans="1:16" ht="64" x14ac:dyDescent="0.4">
      <c r="A68" s="5">
        <v>67</v>
      </c>
      <c r="B68" s="40" t="s">
        <v>367</v>
      </c>
      <c r="C68" s="40" t="s">
        <v>368</v>
      </c>
      <c r="D68" s="40" t="s">
        <v>369</v>
      </c>
      <c r="E68" s="43" t="s">
        <v>370</v>
      </c>
      <c r="F68" s="6" t="s">
        <v>28</v>
      </c>
      <c r="G68" s="47" t="s">
        <v>371</v>
      </c>
      <c r="H68" s="10">
        <v>44833</v>
      </c>
      <c r="I68" s="10">
        <v>45197</v>
      </c>
      <c r="J68" s="47" t="s">
        <v>30</v>
      </c>
      <c r="K68" s="8">
        <v>980000</v>
      </c>
      <c r="L68" s="8" t="s">
        <v>61</v>
      </c>
      <c r="M68" s="8" t="s">
        <v>61</v>
      </c>
      <c r="N68" s="8">
        <v>0</v>
      </c>
      <c r="O68" s="6" t="s">
        <v>23</v>
      </c>
      <c r="P68" s="4"/>
    </row>
    <row r="69" spans="1:16" ht="62" x14ac:dyDescent="0.4">
      <c r="A69" s="5">
        <v>68</v>
      </c>
      <c r="B69" s="40" t="s">
        <v>372</v>
      </c>
      <c r="C69" s="40" t="s">
        <v>373</v>
      </c>
      <c r="D69" s="40" t="s">
        <v>374</v>
      </c>
      <c r="E69" s="41"/>
      <c r="F69" s="6" t="s">
        <v>28</v>
      </c>
      <c r="G69" s="47" t="s">
        <v>375</v>
      </c>
      <c r="H69" s="10">
        <v>44833</v>
      </c>
      <c r="I69" s="10">
        <v>45197</v>
      </c>
      <c r="J69" s="47" t="s">
        <v>376</v>
      </c>
      <c r="K69" s="8">
        <v>490000</v>
      </c>
      <c r="L69" s="8" t="s">
        <v>61</v>
      </c>
      <c r="M69" s="8" t="s">
        <v>61</v>
      </c>
      <c r="N69" s="8">
        <v>0</v>
      </c>
      <c r="O69" s="6" t="s">
        <v>23</v>
      </c>
      <c r="P69" s="4"/>
    </row>
    <row r="70" spans="1:16" ht="46.5" x14ac:dyDescent="0.4">
      <c r="A70" s="5">
        <v>69</v>
      </c>
      <c r="B70" s="40" t="s">
        <v>377</v>
      </c>
      <c r="C70" s="40" t="s">
        <v>378</v>
      </c>
      <c r="D70" s="40" t="s">
        <v>379</v>
      </c>
      <c r="E70" s="41"/>
      <c r="F70" s="6" t="s">
        <v>28</v>
      </c>
      <c r="G70" s="47" t="s">
        <v>380</v>
      </c>
      <c r="H70" s="10">
        <v>45359</v>
      </c>
      <c r="I70" s="10">
        <v>45723</v>
      </c>
      <c r="J70" s="47" t="s">
        <v>22</v>
      </c>
      <c r="K70" s="8">
        <v>980000</v>
      </c>
      <c r="L70" s="8" t="s">
        <v>61</v>
      </c>
      <c r="M70" s="8" t="s">
        <v>61</v>
      </c>
      <c r="N70" s="8">
        <v>0</v>
      </c>
      <c r="O70" s="6" t="s">
        <v>23</v>
      </c>
      <c r="P70" s="4"/>
    </row>
    <row r="71" spans="1:16" ht="93.5" x14ac:dyDescent="0.4">
      <c r="A71" s="5">
        <v>70</v>
      </c>
      <c r="B71" s="44" t="s">
        <v>381</v>
      </c>
      <c r="C71" s="44" t="s">
        <v>382</v>
      </c>
      <c r="D71" s="44" t="s">
        <v>383</v>
      </c>
      <c r="E71" s="45" t="s">
        <v>384</v>
      </c>
      <c r="F71" s="6" t="s">
        <v>28</v>
      </c>
      <c r="G71" s="47" t="s">
        <v>385</v>
      </c>
      <c r="H71" s="10">
        <v>44833</v>
      </c>
      <c r="I71" s="10">
        <v>45197</v>
      </c>
      <c r="J71" s="47" t="s">
        <v>30</v>
      </c>
      <c r="K71" s="8">
        <v>980000</v>
      </c>
      <c r="L71" s="8" t="s">
        <v>61</v>
      </c>
      <c r="M71" s="8" t="s">
        <v>61</v>
      </c>
      <c r="N71" s="8">
        <v>0</v>
      </c>
      <c r="O71" s="6" t="s">
        <v>23</v>
      </c>
      <c r="P71" s="4"/>
    </row>
    <row r="72" spans="1:16" ht="62" x14ac:dyDescent="0.4">
      <c r="A72" s="5">
        <v>71</v>
      </c>
      <c r="B72" s="40" t="s">
        <v>386</v>
      </c>
      <c r="C72" s="40" t="s">
        <v>387</v>
      </c>
      <c r="D72" s="6" t="s">
        <v>388</v>
      </c>
      <c r="E72" s="6" t="s">
        <v>389</v>
      </c>
      <c r="F72" s="6" t="s">
        <v>18</v>
      </c>
      <c r="G72" s="47" t="s">
        <v>390</v>
      </c>
      <c r="H72" s="10">
        <v>44833</v>
      </c>
      <c r="I72" s="10">
        <v>45197</v>
      </c>
      <c r="J72" s="47" t="s">
        <v>341</v>
      </c>
      <c r="K72" s="8">
        <v>980000</v>
      </c>
      <c r="L72" s="8" t="s">
        <v>61</v>
      </c>
      <c r="M72" s="8" t="s">
        <v>61</v>
      </c>
      <c r="N72" s="8">
        <v>0</v>
      </c>
      <c r="O72" s="6" t="s">
        <v>23</v>
      </c>
      <c r="P72" s="4"/>
    </row>
    <row r="73" spans="1:16" ht="80" x14ac:dyDescent="0.4">
      <c r="A73" s="5">
        <v>72</v>
      </c>
      <c r="B73" s="44" t="s">
        <v>391</v>
      </c>
      <c r="C73" s="44" t="s">
        <v>392</v>
      </c>
      <c r="D73" s="31" t="s">
        <v>393</v>
      </c>
      <c r="E73" s="46" t="s">
        <v>394</v>
      </c>
      <c r="F73" s="6" t="s">
        <v>18</v>
      </c>
      <c r="G73" s="47" t="s">
        <v>395</v>
      </c>
      <c r="H73" s="10">
        <v>44728</v>
      </c>
      <c r="I73" s="10">
        <v>45092</v>
      </c>
      <c r="J73" s="47" t="s">
        <v>341</v>
      </c>
      <c r="K73" s="8">
        <v>980000</v>
      </c>
      <c r="L73" s="8" t="s">
        <v>61</v>
      </c>
      <c r="M73" s="8" t="s">
        <v>61</v>
      </c>
      <c r="N73" s="8">
        <v>0</v>
      </c>
      <c r="O73" s="6" t="s">
        <v>23</v>
      </c>
      <c r="P73" s="4"/>
    </row>
    <row r="74" spans="1:16" ht="16" x14ac:dyDescent="0.4">
      <c r="A74" s="5">
        <v>73</v>
      </c>
      <c r="B74" s="6" t="s">
        <v>396</v>
      </c>
      <c r="C74" s="6" t="s">
        <v>397</v>
      </c>
      <c r="D74" s="6" t="s">
        <v>398</v>
      </c>
      <c r="E74" s="6" t="s">
        <v>399</v>
      </c>
      <c r="F74" s="6" t="s">
        <v>18</v>
      </c>
      <c r="G74" s="6" t="s">
        <v>400</v>
      </c>
      <c r="H74" s="6" t="s">
        <v>401</v>
      </c>
      <c r="I74" s="10">
        <v>45092</v>
      </c>
      <c r="J74" s="6" t="s">
        <v>55</v>
      </c>
      <c r="K74" s="8">
        <v>980000</v>
      </c>
      <c r="L74" s="8" t="s">
        <v>61</v>
      </c>
      <c r="M74" s="8" t="s">
        <v>61</v>
      </c>
      <c r="N74" s="8">
        <v>0</v>
      </c>
      <c r="O74" s="6" t="s">
        <v>23</v>
      </c>
      <c r="P74" s="4"/>
    </row>
    <row r="75" spans="1:16" ht="16" x14ac:dyDescent="0.4">
      <c r="A75" s="5">
        <v>74</v>
      </c>
      <c r="B75" s="6" t="s">
        <v>402</v>
      </c>
      <c r="C75" s="6" t="s">
        <v>403</v>
      </c>
      <c r="D75" s="6" t="s">
        <v>404</v>
      </c>
      <c r="E75" s="48" t="s">
        <v>405</v>
      </c>
      <c r="F75" s="6" t="s">
        <v>28</v>
      </c>
      <c r="G75" s="49" t="s">
        <v>406</v>
      </c>
      <c r="H75" s="49" t="s">
        <v>407</v>
      </c>
      <c r="I75" s="49" t="s">
        <v>408</v>
      </c>
      <c r="J75" s="49" t="s">
        <v>409</v>
      </c>
      <c r="K75" s="42">
        <v>490000</v>
      </c>
      <c r="L75" s="42" t="s">
        <v>61</v>
      </c>
      <c r="M75" s="42">
        <v>0</v>
      </c>
      <c r="N75" s="42">
        <v>0</v>
      </c>
      <c r="O75" s="6" t="s">
        <v>31</v>
      </c>
      <c r="P75" s="4"/>
    </row>
    <row r="76" spans="1:16" ht="31" x14ac:dyDescent="0.4">
      <c r="A76" s="5">
        <v>75</v>
      </c>
      <c r="B76" s="6" t="s">
        <v>410</v>
      </c>
      <c r="C76" s="6" t="s">
        <v>411</v>
      </c>
      <c r="D76" s="35" t="s">
        <v>412</v>
      </c>
      <c r="E76" s="7" t="s">
        <v>413</v>
      </c>
      <c r="F76" s="6" t="s">
        <v>18</v>
      </c>
      <c r="G76" s="6" t="s">
        <v>414</v>
      </c>
      <c r="H76" s="10">
        <v>44359</v>
      </c>
      <c r="I76" s="10">
        <v>44693</v>
      </c>
      <c r="J76" s="6" t="s">
        <v>30</v>
      </c>
      <c r="K76" s="8">
        <v>490000</v>
      </c>
      <c r="L76" s="8" t="s">
        <v>61</v>
      </c>
      <c r="M76" s="8">
        <v>490000</v>
      </c>
      <c r="N76" s="8">
        <v>0</v>
      </c>
      <c r="O76" s="6" t="s">
        <v>23</v>
      </c>
      <c r="P76" s="4"/>
    </row>
    <row r="77" spans="1:16" ht="16" x14ac:dyDescent="0.4">
      <c r="A77" s="5">
        <v>76</v>
      </c>
      <c r="B77" s="6" t="s">
        <v>415</v>
      </c>
      <c r="C77" s="6" t="s">
        <v>416</v>
      </c>
      <c r="D77" s="6" t="s">
        <v>417</v>
      </c>
      <c r="E77" s="46" t="s">
        <v>418</v>
      </c>
      <c r="F77" s="6" t="s">
        <v>18</v>
      </c>
      <c r="G77" s="50" t="s">
        <v>419</v>
      </c>
      <c r="H77" s="51">
        <v>45044</v>
      </c>
      <c r="I77" s="51">
        <v>45409</v>
      </c>
      <c r="J77" s="6" t="s">
        <v>30</v>
      </c>
      <c r="K77" s="19">
        <v>980000</v>
      </c>
      <c r="L77" s="19" t="s">
        <v>61</v>
      </c>
      <c r="M77" s="19" t="s">
        <v>61</v>
      </c>
      <c r="N77" s="8">
        <v>0</v>
      </c>
      <c r="O77" s="6" t="s">
        <v>23</v>
      </c>
    </row>
    <row r="78" spans="1:16" ht="16" x14ac:dyDescent="0.4">
      <c r="A78" s="5">
        <v>77</v>
      </c>
      <c r="B78" s="6" t="s">
        <v>420</v>
      </c>
      <c r="C78" s="6" t="s">
        <v>421</v>
      </c>
      <c r="D78" s="6" t="s">
        <v>422</v>
      </c>
      <c r="E78" s="6"/>
      <c r="F78" s="6" t="s">
        <v>18</v>
      </c>
      <c r="G78" s="6" t="s">
        <v>423</v>
      </c>
      <c r="H78" s="51">
        <v>45044</v>
      </c>
      <c r="I78" s="51">
        <v>45409</v>
      </c>
      <c r="J78" s="6" t="s">
        <v>30</v>
      </c>
      <c r="K78" s="19">
        <v>980000</v>
      </c>
      <c r="L78" s="19" t="s">
        <v>61</v>
      </c>
      <c r="M78" s="19" t="s">
        <v>61</v>
      </c>
      <c r="N78" s="8">
        <v>0</v>
      </c>
      <c r="O78" s="6" t="s">
        <v>23</v>
      </c>
    </row>
    <row r="79" spans="1:16" ht="16" x14ac:dyDescent="0.4">
      <c r="A79" s="5">
        <v>78</v>
      </c>
      <c r="B79" s="52" t="s">
        <v>424</v>
      </c>
      <c r="C79" s="52" t="s">
        <v>425</v>
      </c>
      <c r="D79" s="50" t="s">
        <v>426</v>
      </c>
      <c r="E79" s="50" t="s">
        <v>427</v>
      </c>
      <c r="F79" s="52" t="s">
        <v>428</v>
      </c>
      <c r="G79" s="6" t="s">
        <v>429</v>
      </c>
      <c r="H79" s="51">
        <v>45044</v>
      </c>
      <c r="I79" s="51">
        <v>45409</v>
      </c>
      <c r="J79" s="6" t="s">
        <v>30</v>
      </c>
      <c r="K79" s="19">
        <v>980000</v>
      </c>
      <c r="L79" s="19" t="s">
        <v>61</v>
      </c>
      <c r="M79" s="19" t="s">
        <v>61</v>
      </c>
      <c r="N79" s="8">
        <v>0</v>
      </c>
      <c r="O79" s="6" t="s">
        <v>23</v>
      </c>
    </row>
    <row r="80" spans="1:16" ht="16" x14ac:dyDescent="0.4">
      <c r="A80" s="5">
        <v>79</v>
      </c>
      <c r="B80" s="6" t="s">
        <v>430</v>
      </c>
      <c r="C80" s="6" t="s">
        <v>431</v>
      </c>
      <c r="D80" s="53" t="s">
        <v>432</v>
      </c>
      <c r="E80" s="48" t="s">
        <v>433</v>
      </c>
      <c r="F80" s="6" t="s">
        <v>434</v>
      </c>
      <c r="G80" s="6" t="s">
        <v>435</v>
      </c>
      <c r="H80" s="51">
        <v>44911</v>
      </c>
      <c r="I80" s="51">
        <v>45275</v>
      </c>
      <c r="J80" s="47" t="s">
        <v>341</v>
      </c>
      <c r="K80" s="19">
        <v>490000</v>
      </c>
      <c r="L80" s="19" t="s">
        <v>61</v>
      </c>
      <c r="M80" s="19" t="s">
        <v>61</v>
      </c>
      <c r="N80" s="8">
        <v>0</v>
      </c>
      <c r="O80" s="6" t="s">
        <v>23</v>
      </c>
    </row>
    <row r="81" spans="1:16" ht="16" x14ac:dyDescent="0.4">
      <c r="A81" s="5">
        <v>80</v>
      </c>
      <c r="B81" s="6" t="s">
        <v>436</v>
      </c>
      <c r="C81" s="6" t="s">
        <v>437</v>
      </c>
      <c r="D81" s="53" t="s">
        <v>438</v>
      </c>
      <c r="E81" s="48" t="s">
        <v>439</v>
      </c>
      <c r="F81" s="6" t="s">
        <v>18</v>
      </c>
      <c r="G81" s="6" t="s">
        <v>440</v>
      </c>
      <c r="H81" s="51">
        <v>44728</v>
      </c>
      <c r="I81" s="51">
        <v>45092</v>
      </c>
      <c r="J81" s="6" t="s">
        <v>55</v>
      </c>
      <c r="K81" s="19">
        <v>490000</v>
      </c>
      <c r="L81" s="19" t="s">
        <v>61</v>
      </c>
      <c r="M81" s="19" t="s">
        <v>61</v>
      </c>
      <c r="N81" s="8">
        <v>0</v>
      </c>
      <c r="O81" s="17" t="s">
        <v>23</v>
      </c>
    </row>
    <row r="82" spans="1:16" ht="16" x14ac:dyDescent="0.4">
      <c r="A82" s="5">
        <v>81</v>
      </c>
      <c r="B82" s="6" t="s">
        <v>441</v>
      </c>
      <c r="C82" s="6" t="s">
        <v>442</v>
      </c>
      <c r="D82" s="54">
        <v>999374165</v>
      </c>
      <c r="E82" s="55" t="s">
        <v>443</v>
      </c>
      <c r="F82" s="6" t="s">
        <v>18</v>
      </c>
      <c r="G82" s="6" t="s">
        <v>444</v>
      </c>
      <c r="H82" s="56">
        <v>45149</v>
      </c>
      <c r="I82" s="56">
        <v>45514</v>
      </c>
      <c r="J82" s="47" t="s">
        <v>30</v>
      </c>
      <c r="K82" s="57">
        <v>980000</v>
      </c>
      <c r="L82" s="58" t="s">
        <v>61</v>
      </c>
      <c r="M82" s="58" t="s">
        <v>61</v>
      </c>
      <c r="N82" s="58" t="s">
        <v>61</v>
      </c>
      <c r="O82" s="58" t="s">
        <v>23</v>
      </c>
    </row>
    <row r="83" spans="1:16" ht="16" x14ac:dyDescent="0.4">
      <c r="A83" s="5">
        <v>82</v>
      </c>
      <c r="B83" s="6" t="s">
        <v>445</v>
      </c>
      <c r="C83" s="54" t="s">
        <v>446</v>
      </c>
      <c r="D83" s="54" t="s">
        <v>447</v>
      </c>
      <c r="E83" s="55" t="s">
        <v>448</v>
      </c>
      <c r="F83" s="6" t="s">
        <v>449</v>
      </c>
      <c r="G83" s="6" t="s">
        <v>450</v>
      </c>
      <c r="H83" s="56">
        <v>45149</v>
      </c>
      <c r="I83" s="56">
        <v>45514</v>
      </c>
      <c r="J83" s="47" t="s">
        <v>30</v>
      </c>
      <c r="K83" s="57">
        <v>980000</v>
      </c>
      <c r="L83" s="58" t="s">
        <v>61</v>
      </c>
      <c r="M83" s="58" t="s">
        <v>61</v>
      </c>
      <c r="N83" s="58" t="s">
        <v>61</v>
      </c>
      <c r="O83" s="58" t="s">
        <v>23</v>
      </c>
      <c r="P83" s="16"/>
    </row>
    <row r="84" spans="1:16" ht="16" x14ac:dyDescent="0.4">
      <c r="A84" s="5">
        <v>83</v>
      </c>
      <c r="B84" s="6" t="s">
        <v>451</v>
      </c>
      <c r="C84" s="6" t="s">
        <v>452</v>
      </c>
      <c r="D84" s="54" t="s">
        <v>453</v>
      </c>
      <c r="E84" s="55" t="s">
        <v>454</v>
      </c>
      <c r="F84" s="6" t="s">
        <v>28</v>
      </c>
      <c r="G84" s="6" t="s">
        <v>455</v>
      </c>
      <c r="H84" s="56">
        <v>45149</v>
      </c>
      <c r="I84" s="56">
        <v>45514</v>
      </c>
      <c r="J84" s="47" t="s">
        <v>30</v>
      </c>
      <c r="K84" s="57">
        <v>490000</v>
      </c>
      <c r="L84" s="58" t="s">
        <v>61</v>
      </c>
      <c r="M84" s="58" t="s">
        <v>61</v>
      </c>
      <c r="N84" s="58" t="s">
        <v>61</v>
      </c>
      <c r="O84" s="58" t="s">
        <v>23</v>
      </c>
    </row>
    <row r="85" spans="1:16" ht="102" x14ac:dyDescent="0.4">
      <c r="A85" s="5">
        <v>84</v>
      </c>
      <c r="B85" s="54" t="s">
        <v>456</v>
      </c>
      <c r="C85" s="59" t="s">
        <v>457</v>
      </c>
      <c r="D85" s="54" t="s">
        <v>458</v>
      </c>
      <c r="E85" s="55" t="s">
        <v>459</v>
      </c>
      <c r="F85" s="54" t="s">
        <v>28</v>
      </c>
      <c r="G85" s="54" t="s">
        <v>460</v>
      </c>
      <c r="H85" s="56">
        <v>45149</v>
      </c>
      <c r="I85" s="56">
        <v>45514</v>
      </c>
      <c r="J85" s="47" t="s">
        <v>30</v>
      </c>
      <c r="K85" s="57">
        <v>980000</v>
      </c>
      <c r="L85" s="58" t="s">
        <v>61</v>
      </c>
      <c r="M85" s="58" t="s">
        <v>61</v>
      </c>
      <c r="N85" s="58" t="s">
        <v>61</v>
      </c>
      <c r="O85" s="58" t="s">
        <v>23</v>
      </c>
    </row>
    <row r="86" spans="1:16" ht="56" x14ac:dyDescent="0.4">
      <c r="A86" s="5">
        <v>85</v>
      </c>
      <c r="B86" s="60" t="s">
        <v>461</v>
      </c>
      <c r="C86" s="60" t="s">
        <v>462</v>
      </c>
      <c r="E86" s="61" t="s">
        <v>463</v>
      </c>
      <c r="F86" s="62" t="s">
        <v>28</v>
      </c>
      <c r="G86" s="60" t="s">
        <v>464</v>
      </c>
      <c r="H86" s="63">
        <v>45359</v>
      </c>
      <c r="I86" s="63">
        <v>45723</v>
      </c>
      <c r="K86" s="57">
        <v>980000</v>
      </c>
      <c r="L86" s="64"/>
      <c r="M86" s="64"/>
      <c r="N86" s="64"/>
    </row>
    <row r="87" spans="1:16" ht="56" x14ac:dyDescent="0.4">
      <c r="A87" s="5">
        <v>86</v>
      </c>
      <c r="B87" s="60" t="s">
        <v>465</v>
      </c>
      <c r="C87" s="60" t="s">
        <v>466</v>
      </c>
      <c r="E87" s="65" t="s">
        <v>467</v>
      </c>
      <c r="F87" s="62" t="s">
        <v>28</v>
      </c>
      <c r="G87" s="60" t="s">
        <v>468</v>
      </c>
      <c r="H87" s="63">
        <v>45359</v>
      </c>
      <c r="I87" s="63">
        <v>45723</v>
      </c>
      <c r="K87" s="57">
        <v>980000</v>
      </c>
      <c r="L87" s="64"/>
      <c r="M87" s="64"/>
      <c r="N87" s="64"/>
    </row>
    <row r="88" spans="1:16" ht="56" x14ac:dyDescent="0.4">
      <c r="A88" s="5">
        <v>87</v>
      </c>
      <c r="B88" s="60" t="s">
        <v>469</v>
      </c>
      <c r="C88" s="65" t="s">
        <v>470</v>
      </c>
      <c r="F88" s="62" t="s">
        <v>28</v>
      </c>
      <c r="G88" t="s">
        <v>471</v>
      </c>
      <c r="H88" s="63">
        <v>45359</v>
      </c>
      <c r="I88" s="63">
        <v>45723</v>
      </c>
      <c r="K88" s="57">
        <v>980000</v>
      </c>
      <c r="L88" s="64"/>
      <c r="M88" s="64"/>
      <c r="N88" s="64"/>
    </row>
    <row r="89" spans="1:16" ht="56" x14ac:dyDescent="0.4">
      <c r="A89" s="5">
        <v>88</v>
      </c>
      <c r="B89" s="60" t="s">
        <v>472</v>
      </c>
      <c r="C89" s="60" t="s">
        <v>473</v>
      </c>
      <c r="F89" s="62" t="s">
        <v>28</v>
      </c>
      <c r="G89" t="s">
        <v>474</v>
      </c>
      <c r="H89" s="63">
        <v>45359</v>
      </c>
      <c r="I89" s="63">
        <v>45723</v>
      </c>
      <c r="K89" s="57">
        <v>980000</v>
      </c>
      <c r="L89" s="64"/>
      <c r="M89" s="64"/>
      <c r="N89" s="64"/>
      <c r="O89" t="s">
        <v>23</v>
      </c>
      <c r="P89" s="16"/>
    </row>
    <row r="90" spans="1:16" ht="42" x14ac:dyDescent="0.4">
      <c r="A90" s="5">
        <v>89</v>
      </c>
      <c r="B90" s="60" t="s">
        <v>475</v>
      </c>
      <c r="C90" s="60" t="s">
        <v>476</v>
      </c>
      <c r="E90" s="65" t="s">
        <v>477</v>
      </c>
      <c r="F90" s="62" t="s">
        <v>28</v>
      </c>
      <c r="G90" t="s">
        <v>478</v>
      </c>
      <c r="H90" s="63">
        <v>45359</v>
      </c>
      <c r="I90" s="63">
        <v>45723</v>
      </c>
      <c r="K90" s="57">
        <v>980000</v>
      </c>
      <c r="L90" s="64"/>
      <c r="M90" s="64"/>
      <c r="N90" s="64"/>
    </row>
    <row r="91" spans="1:16" ht="70" x14ac:dyDescent="0.4">
      <c r="A91" s="5">
        <v>90</v>
      </c>
      <c r="B91" s="60" t="s">
        <v>479</v>
      </c>
      <c r="C91" s="60" t="s">
        <v>480</v>
      </c>
      <c r="E91" s="65" t="s">
        <v>481</v>
      </c>
      <c r="F91" s="62" t="s">
        <v>28</v>
      </c>
      <c r="G91" t="s">
        <v>482</v>
      </c>
      <c r="H91" s="63">
        <v>45359</v>
      </c>
      <c r="I91" s="63">
        <v>45723</v>
      </c>
      <c r="K91" s="57">
        <v>980000</v>
      </c>
      <c r="L91" s="64"/>
      <c r="M91" s="64"/>
      <c r="N91" s="64"/>
    </row>
    <row r="92" spans="1:16" ht="98" x14ac:dyDescent="0.4">
      <c r="A92" s="5">
        <v>91</v>
      </c>
      <c r="B92" s="60" t="s">
        <v>483</v>
      </c>
      <c r="C92" s="60" t="s">
        <v>484</v>
      </c>
      <c r="E92" s="65" t="s">
        <v>485</v>
      </c>
      <c r="F92" s="62" t="s">
        <v>28</v>
      </c>
      <c r="G92" t="s">
        <v>486</v>
      </c>
      <c r="H92" s="63">
        <v>45359</v>
      </c>
      <c r="I92" s="63">
        <v>45723</v>
      </c>
      <c r="K92" s="57">
        <v>980000</v>
      </c>
      <c r="L92" s="64"/>
      <c r="M92" s="64"/>
      <c r="N92" s="64"/>
    </row>
    <row r="93" spans="1:16" ht="84" x14ac:dyDescent="0.4">
      <c r="A93" s="5">
        <v>92</v>
      </c>
      <c r="B93" s="60" t="s">
        <v>487</v>
      </c>
      <c r="C93" s="60" t="s">
        <v>488</v>
      </c>
      <c r="E93" s="65" t="s">
        <v>489</v>
      </c>
      <c r="F93" s="62" t="s">
        <v>28</v>
      </c>
      <c r="G93" t="s">
        <v>490</v>
      </c>
      <c r="H93" s="63">
        <v>45359</v>
      </c>
      <c r="I93" s="63">
        <v>45723</v>
      </c>
      <c r="K93" s="57">
        <v>980000</v>
      </c>
      <c r="L93" s="64"/>
      <c r="M93" s="64"/>
      <c r="N93" s="64"/>
    </row>
    <row r="94" spans="1:16" ht="70" x14ac:dyDescent="0.4">
      <c r="A94" s="5">
        <v>93</v>
      </c>
      <c r="B94" s="60" t="s">
        <v>491</v>
      </c>
      <c r="C94" s="60" t="s">
        <v>492</v>
      </c>
      <c r="E94" s="65" t="s">
        <v>493</v>
      </c>
      <c r="F94" s="62" t="s">
        <v>28</v>
      </c>
      <c r="G94" s="60" t="s">
        <v>494</v>
      </c>
      <c r="H94" s="63">
        <v>45359</v>
      </c>
      <c r="I94" s="63">
        <v>45723</v>
      </c>
      <c r="K94" s="57">
        <v>980000</v>
      </c>
      <c r="L94" s="64"/>
      <c r="M94" s="64"/>
      <c r="N94" s="64"/>
    </row>
  </sheetData>
  <hyperlinks>
    <hyperlink ref="E3" r:id="rId1" xr:uid="{E49600AC-6AD5-4DB2-A105-A2BA28925ADB}"/>
    <hyperlink ref="E4" r:id="rId2" xr:uid="{4DD63265-B4EB-4A84-83FE-39E50658D2E8}"/>
    <hyperlink ref="E7" r:id="rId3" xr:uid="{0AFB01D9-10CD-4DA3-9113-0325CDF832C4}"/>
    <hyperlink ref="E8" r:id="rId4" display="tropicaldrillingco@gmail.com" xr:uid="{0C3A8130-49A6-4C69-8C0D-1E80C5502C1F}"/>
    <hyperlink ref="E10" r:id="rId5" xr:uid="{753B9BD1-A3F4-4DD2-88A3-CD2EC0EB740D}"/>
    <hyperlink ref="E11" r:id="rId6" xr:uid="{AF61C257-448B-46E2-93DF-00ADF69D96D2}"/>
    <hyperlink ref="E12" r:id="rId7" xr:uid="{6BF1DFDF-82DC-47AD-8DD7-8B295A8184BC}"/>
    <hyperlink ref="E16" r:id="rId8" xr:uid="{ED0A6806-1774-47EA-9435-33A6AA1CDD2A}"/>
    <hyperlink ref="E17" r:id="rId9" xr:uid="{EEA2FE8B-53C7-4E44-8D24-88449A00D8C8}"/>
    <hyperlink ref="E18" r:id="rId10" xr:uid="{8FA0E548-99CB-4836-9E90-9062AA6EA496}"/>
    <hyperlink ref="E22" r:id="rId11" xr:uid="{88B6D23B-3964-4F3C-9C22-9740F207F6E6}"/>
    <hyperlink ref="E6" r:id="rId12" xr:uid="{6AD879AC-F444-4998-9317-81A7F5A083EC}"/>
    <hyperlink ref="E29" r:id="rId13" xr:uid="{EF887A96-5048-43BE-B9D7-C292D2DE4454}"/>
    <hyperlink ref="E24" r:id="rId14" xr:uid="{8965BF33-46F5-4089-AE16-EE9CABF6116A}"/>
    <hyperlink ref="E30" r:id="rId15" xr:uid="{C29722DF-BCED-4ECD-AD93-293353FBFD61}"/>
    <hyperlink ref="E48" r:id="rId16" xr:uid="{101F053D-0CB7-4BBD-BFF3-CEAFA396B061}"/>
    <hyperlink ref="E52" r:id="rId17" xr:uid="{E3FB8B1B-162B-49C6-A8E5-E4CFE448CBA9}"/>
    <hyperlink ref="E53" r:id="rId18" xr:uid="{D46D1E20-2437-4899-B42C-B1245FE22341}"/>
    <hyperlink ref="E60" r:id="rId19" xr:uid="{66588F7A-6006-491F-A802-25D32045AB24}"/>
    <hyperlink ref="E49" r:id="rId20" xr:uid="{188E6CF9-14A4-4027-A379-AD3B0ED7DF8F}"/>
    <hyperlink ref="E66" r:id="rId21" xr:uid="{0A056B85-E549-4E9E-9792-901F5D9F84AB}"/>
    <hyperlink ref="E44" r:id="rId22" xr:uid="{63EBBC40-C66D-4190-B278-F69052DF47F6}"/>
    <hyperlink ref="E36" r:id="rId23" xr:uid="{700E8283-BBBF-4E2A-ACE0-784678F97E4A}"/>
    <hyperlink ref="E35" r:id="rId24" xr:uid="{AE5F2B97-FD44-4B97-B0BC-F438C71D280E}"/>
    <hyperlink ref="E34" r:id="rId25" xr:uid="{1E04A970-8A37-4003-87C9-A045EE35B307}"/>
    <hyperlink ref="E33" r:id="rId26" xr:uid="{B58F4DDF-9FBC-480A-B527-64A5F318C622}"/>
    <hyperlink ref="E32" r:id="rId27" xr:uid="{3D757E3E-51CB-4E50-B5D7-5DED77BA227E}"/>
    <hyperlink ref="E37" r:id="rId28" xr:uid="{F2FD46DA-74E8-44CA-8AAF-30CD94CA96FB}"/>
    <hyperlink ref="E38" r:id="rId29" xr:uid="{14A3C348-2BEF-4DD8-BE7B-279670CB262B}"/>
    <hyperlink ref="E43" r:id="rId30" xr:uid="{ADA17B83-0DB3-40B8-98EF-EB5D758B2E02}"/>
    <hyperlink ref="E47" r:id="rId31" xr:uid="{1CA93F39-8A8C-4389-B8E6-FC70C0681792}"/>
    <hyperlink ref="E50" r:id="rId32" xr:uid="{24175ABA-0044-4046-836B-F9F853333EC6}"/>
    <hyperlink ref="E51" r:id="rId33" xr:uid="{5ACDFB6A-F5E4-4D14-97C6-39510013A426}"/>
    <hyperlink ref="E54" r:id="rId34" xr:uid="{B8F68D1D-A19A-444E-A7C0-D465E3A9BD11}"/>
    <hyperlink ref="E55" r:id="rId35" xr:uid="{884290BC-A9D4-467C-8F67-F41CC71C0795}"/>
    <hyperlink ref="E62" r:id="rId36" xr:uid="{CECDA93E-FC07-47DF-BD91-A48C7D68A70B}"/>
    <hyperlink ref="E63" r:id="rId37" xr:uid="{B46A1BCA-A1B1-4894-A268-A094DA41D884}"/>
    <hyperlink ref="E67" r:id="rId38" xr:uid="{9C9D9767-35A4-4B3E-9B9A-9B5DA6E169C3}"/>
    <hyperlink ref="E68" r:id="rId39" xr:uid="{08988740-771E-47D1-BD7F-9B09D7173B90}"/>
    <hyperlink ref="E77" r:id="rId40" xr:uid="{ACFB6C73-E48F-4EE4-AF98-901C9BEA1612}"/>
    <hyperlink ref="E73" r:id="rId41" xr:uid="{25BEE417-A300-4DA5-A487-6C7097B154FB}"/>
    <hyperlink ref="E65" r:id="rId42" xr:uid="{3809AEED-5075-4D2E-A0AC-42125FC8FF24}"/>
    <hyperlink ref="E56" r:id="rId43" xr:uid="{F599BEBF-F81B-40E6-B162-C528A390FA05}"/>
    <hyperlink ref="E75" r:id="rId44" xr:uid="{8E24A530-1468-4058-9B35-68974009BCAB}"/>
    <hyperlink ref="E80" r:id="rId45" xr:uid="{6A082B79-3B1A-40C2-98DF-20F5B84F94E5}"/>
    <hyperlink ref="E81" r:id="rId46" xr:uid="{32CA6104-E746-4CE7-AEA3-DEFFF81A730A}"/>
    <hyperlink ref="E71" r:id="rId47" xr:uid="{A6FAA5FD-A5C9-4377-8752-DEA90B10668A}"/>
    <hyperlink ref="E85" r:id="rId48" xr:uid="{66FC7F08-0A3B-481E-86DD-B4B22A369AE6}"/>
    <hyperlink ref="E83" r:id="rId49" xr:uid="{372848A2-5A5B-4E04-AEF8-A25D3E54F602}"/>
    <hyperlink ref="E84" r:id="rId50" xr:uid="{F982E69F-507A-46A8-BA7B-6807F9C47756}"/>
    <hyperlink ref="E82" r:id="rId51" xr:uid="{C052BC2D-98B1-4665-B72F-6016CED3F593}"/>
    <hyperlink ref="E86" r:id="rId52" display="mailto:hplengineeringmw@gmail.com" xr:uid="{F45817AA-DD2E-4D61-BFF0-D7281DA9DC8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019D-004D-4FA5-9153-85A06752750E}">
  <dimension ref="A1:O65"/>
  <sheetViews>
    <sheetView workbookViewId="0">
      <selection activeCell="J7" sqref="J7"/>
    </sheetView>
  </sheetViews>
  <sheetFormatPr defaultRowHeight="14.5" x14ac:dyDescent="0.35"/>
  <sheetData>
    <row r="1" spans="1:15" ht="31" x14ac:dyDescent="0.4">
      <c r="A1" s="6" t="s">
        <v>0</v>
      </c>
      <c r="B1" s="39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14</v>
      </c>
    </row>
    <row r="2" spans="1:15" ht="16" x14ac:dyDescent="0.4">
      <c r="A2" s="21">
        <v>1</v>
      </c>
      <c r="B2" s="22" t="s">
        <v>15</v>
      </c>
      <c r="C2" s="22" t="s">
        <v>16</v>
      </c>
      <c r="D2" s="22">
        <v>888843222</v>
      </c>
      <c r="E2" s="66" t="s">
        <v>17</v>
      </c>
      <c r="F2" s="22" t="s">
        <v>18</v>
      </c>
      <c r="G2" s="22" t="s">
        <v>19</v>
      </c>
      <c r="H2" s="22" t="s">
        <v>20</v>
      </c>
      <c r="I2" s="21" t="s">
        <v>23</v>
      </c>
      <c r="J2" s="67"/>
      <c r="K2" s="67"/>
      <c r="L2" s="67"/>
      <c r="M2" s="67"/>
      <c r="N2" s="67"/>
      <c r="O2" s="67"/>
    </row>
    <row r="3" spans="1:15" ht="16" x14ac:dyDescent="0.4">
      <c r="A3" s="21">
        <v>2</v>
      </c>
      <c r="B3" s="22" t="s">
        <v>32</v>
      </c>
      <c r="C3" s="22" t="s">
        <v>33</v>
      </c>
      <c r="D3" s="68">
        <v>999468029</v>
      </c>
      <c r="E3" s="69" t="s">
        <v>34</v>
      </c>
      <c r="F3" s="22" t="s">
        <v>35</v>
      </c>
      <c r="G3" s="22" t="s">
        <v>36</v>
      </c>
      <c r="H3" s="22" t="s">
        <v>37</v>
      </c>
      <c r="I3" s="21" t="s">
        <v>23</v>
      </c>
      <c r="J3" s="67"/>
      <c r="K3" s="67"/>
      <c r="L3" s="67"/>
      <c r="M3" s="67"/>
      <c r="N3" s="67"/>
      <c r="O3" s="67"/>
    </row>
    <row r="4" spans="1:15" ht="16" x14ac:dyDescent="0.4">
      <c r="A4" s="21">
        <v>3</v>
      </c>
      <c r="B4" s="22" t="s">
        <v>39</v>
      </c>
      <c r="C4" s="22" t="s">
        <v>40</v>
      </c>
      <c r="D4" s="22">
        <v>888233144</v>
      </c>
      <c r="E4" s="22" t="s">
        <v>41</v>
      </c>
      <c r="F4" s="22" t="s">
        <v>42</v>
      </c>
      <c r="G4" s="22" t="s">
        <v>43</v>
      </c>
      <c r="H4" s="22" t="s">
        <v>44</v>
      </c>
      <c r="I4" s="21" t="s">
        <v>23</v>
      </c>
      <c r="J4" s="67"/>
      <c r="K4" s="67"/>
      <c r="L4" s="67"/>
      <c r="M4" s="67"/>
      <c r="N4" s="67"/>
      <c r="O4" s="67"/>
    </row>
    <row r="5" spans="1:15" ht="16" x14ac:dyDescent="0.4">
      <c r="A5" s="21">
        <v>4</v>
      </c>
      <c r="B5" s="13" t="s">
        <v>47</v>
      </c>
      <c r="C5" s="13" t="s">
        <v>48</v>
      </c>
      <c r="D5" s="13" t="s">
        <v>49</v>
      </c>
      <c r="E5" s="14" t="s">
        <v>50</v>
      </c>
      <c r="F5" s="13" t="s">
        <v>51</v>
      </c>
      <c r="G5" s="13" t="s">
        <v>52</v>
      </c>
      <c r="H5" s="13" t="s">
        <v>53</v>
      </c>
      <c r="I5" s="12" t="s">
        <v>23</v>
      </c>
      <c r="J5" s="16"/>
      <c r="K5" s="16"/>
      <c r="L5" s="16"/>
      <c r="M5" s="16"/>
      <c r="N5" s="16"/>
      <c r="O5" s="16"/>
    </row>
    <row r="6" spans="1:15" ht="128" x14ac:dyDescent="0.4">
      <c r="A6" s="21">
        <v>5</v>
      </c>
      <c r="B6" s="22" t="s">
        <v>62</v>
      </c>
      <c r="C6" s="22" t="s">
        <v>63</v>
      </c>
      <c r="D6" s="22" t="s">
        <v>64</v>
      </c>
      <c r="E6" s="70" t="s">
        <v>65</v>
      </c>
      <c r="F6" s="22" t="s">
        <v>28</v>
      </c>
      <c r="G6" s="22" t="s">
        <v>66</v>
      </c>
      <c r="H6" s="22" t="s">
        <v>20</v>
      </c>
      <c r="I6" s="21" t="s">
        <v>23</v>
      </c>
      <c r="J6" s="67"/>
      <c r="K6" s="67"/>
      <c r="L6" s="67"/>
      <c r="M6" s="67"/>
      <c r="N6" s="67"/>
      <c r="O6" s="67"/>
    </row>
    <row r="7" spans="1:15" ht="16" x14ac:dyDescent="0.4">
      <c r="A7" s="21">
        <v>6</v>
      </c>
      <c r="B7" s="22" t="s">
        <v>67</v>
      </c>
      <c r="C7" s="22" t="s">
        <v>68</v>
      </c>
      <c r="D7" s="22">
        <v>880086989</v>
      </c>
      <c r="E7" s="22" t="s">
        <v>69</v>
      </c>
      <c r="F7" s="22" t="s">
        <v>28</v>
      </c>
      <c r="G7" s="22" t="s">
        <v>70</v>
      </c>
      <c r="H7" s="71">
        <v>44274</v>
      </c>
      <c r="I7" s="21" t="s">
        <v>23</v>
      </c>
      <c r="J7" s="67"/>
      <c r="K7" s="67"/>
      <c r="L7" s="67"/>
      <c r="M7" s="67"/>
      <c r="N7" s="67"/>
      <c r="O7" s="67"/>
    </row>
    <row r="8" spans="1:15" ht="16" x14ac:dyDescent="0.4">
      <c r="A8" s="21">
        <v>7</v>
      </c>
      <c r="B8" s="13" t="s">
        <v>79</v>
      </c>
      <c r="C8" s="13" t="s">
        <v>80</v>
      </c>
      <c r="D8" s="13" t="s">
        <v>81</v>
      </c>
      <c r="E8" s="72" t="s">
        <v>82</v>
      </c>
      <c r="F8" s="13" t="s">
        <v>28</v>
      </c>
      <c r="G8" s="13" t="s">
        <v>83</v>
      </c>
      <c r="H8" s="13" t="s">
        <v>20</v>
      </c>
      <c r="I8" s="12" t="s">
        <v>23</v>
      </c>
      <c r="J8" s="16"/>
      <c r="K8" s="16"/>
      <c r="L8" s="16"/>
      <c r="M8" s="16"/>
      <c r="N8" s="16"/>
      <c r="O8" s="16"/>
    </row>
    <row r="9" spans="1:15" ht="16" x14ac:dyDescent="0.4">
      <c r="A9" s="21">
        <v>8</v>
      </c>
      <c r="B9" s="22" t="s">
        <v>84</v>
      </c>
      <c r="C9" s="22" t="s">
        <v>85</v>
      </c>
      <c r="D9" s="22" t="s">
        <v>86</v>
      </c>
      <c r="E9" s="69" t="s">
        <v>87</v>
      </c>
      <c r="F9" s="22" t="s">
        <v>28</v>
      </c>
      <c r="G9" s="22" t="s">
        <v>88</v>
      </c>
      <c r="H9" s="22" t="s">
        <v>20</v>
      </c>
      <c r="I9" s="21" t="s">
        <v>23</v>
      </c>
      <c r="J9" s="67"/>
      <c r="K9" s="67"/>
      <c r="L9" s="67"/>
      <c r="M9" s="67"/>
      <c r="N9" s="67"/>
      <c r="O9" s="67"/>
    </row>
    <row r="10" spans="1:15" ht="16" x14ac:dyDescent="0.4">
      <c r="A10" s="21">
        <v>9</v>
      </c>
      <c r="B10" s="22" t="s">
        <v>89</v>
      </c>
      <c r="C10" s="22" t="s">
        <v>90</v>
      </c>
      <c r="D10" s="22" t="s">
        <v>86</v>
      </c>
      <c r="E10" s="22" t="s">
        <v>91</v>
      </c>
      <c r="F10" s="22" t="s">
        <v>18</v>
      </c>
      <c r="G10" s="22" t="s">
        <v>92</v>
      </c>
      <c r="H10" s="22" t="s">
        <v>20</v>
      </c>
      <c r="I10" s="21" t="s">
        <v>23</v>
      </c>
      <c r="J10" s="67"/>
      <c r="K10" s="67"/>
      <c r="L10" s="67"/>
      <c r="M10" s="67"/>
      <c r="N10" s="67"/>
      <c r="O10" s="67"/>
    </row>
    <row r="11" spans="1:15" ht="16" x14ac:dyDescent="0.4">
      <c r="A11" s="21">
        <v>10</v>
      </c>
      <c r="B11" s="22" t="s">
        <v>93</v>
      </c>
      <c r="C11" s="22" t="s">
        <v>94</v>
      </c>
      <c r="D11" s="22" t="s">
        <v>95</v>
      </c>
      <c r="E11" s="22" t="s">
        <v>96</v>
      </c>
      <c r="F11" s="22" t="s">
        <v>28</v>
      </c>
      <c r="G11" s="22" t="s">
        <v>97</v>
      </c>
      <c r="H11" s="22" t="s">
        <v>20</v>
      </c>
      <c r="I11" s="21" t="s">
        <v>23</v>
      </c>
      <c r="J11" s="67"/>
      <c r="K11" s="67"/>
      <c r="L11" s="67"/>
      <c r="M11" s="67"/>
      <c r="N11" s="67"/>
      <c r="O11" s="67"/>
    </row>
    <row r="12" spans="1:15" ht="16" x14ac:dyDescent="0.4">
      <c r="A12" s="21">
        <v>11</v>
      </c>
      <c r="B12" s="13" t="s">
        <v>98</v>
      </c>
      <c r="C12" s="13" t="s">
        <v>99</v>
      </c>
      <c r="D12" s="13" t="s">
        <v>100</v>
      </c>
      <c r="E12" s="13" t="s">
        <v>101</v>
      </c>
      <c r="F12" s="13" t="s">
        <v>28</v>
      </c>
      <c r="G12" s="13" t="s">
        <v>102</v>
      </c>
      <c r="H12" s="13" t="s">
        <v>20</v>
      </c>
      <c r="I12" s="12" t="s">
        <v>23</v>
      </c>
      <c r="J12" s="16"/>
      <c r="K12" s="16"/>
      <c r="L12" s="16"/>
      <c r="M12" s="16"/>
      <c r="N12" s="16"/>
      <c r="O12" s="16"/>
    </row>
    <row r="13" spans="1:15" ht="16" x14ac:dyDescent="0.4">
      <c r="A13" s="21">
        <v>12</v>
      </c>
      <c r="B13" s="22" t="s">
        <v>104</v>
      </c>
      <c r="C13" s="22" t="s">
        <v>105</v>
      </c>
      <c r="D13" s="22" t="s">
        <v>106</v>
      </c>
      <c r="E13" s="69" t="s">
        <v>107</v>
      </c>
      <c r="F13" s="22" t="s">
        <v>28</v>
      </c>
      <c r="G13" s="22" t="s">
        <v>108</v>
      </c>
      <c r="H13" s="22" t="s">
        <v>109</v>
      </c>
      <c r="I13" s="21" t="s">
        <v>23</v>
      </c>
      <c r="J13" s="67"/>
      <c r="K13" s="67"/>
      <c r="L13" s="67"/>
      <c r="M13" s="67"/>
      <c r="N13" s="67"/>
      <c r="O13" s="67"/>
    </row>
    <row r="14" spans="1:15" ht="16" x14ac:dyDescent="0.4">
      <c r="A14" s="21">
        <v>13</v>
      </c>
      <c r="B14" s="22" t="s">
        <v>115</v>
      </c>
      <c r="C14" s="22" t="s">
        <v>116</v>
      </c>
      <c r="D14" s="22" t="s">
        <v>117</v>
      </c>
      <c r="E14" s="69" t="s">
        <v>118</v>
      </c>
      <c r="F14" s="22" t="s">
        <v>28</v>
      </c>
      <c r="G14" s="22" t="s">
        <v>119</v>
      </c>
      <c r="H14" s="22" t="s">
        <v>20</v>
      </c>
      <c r="I14" s="21" t="s">
        <v>23</v>
      </c>
      <c r="J14" s="67"/>
      <c r="K14" s="67"/>
      <c r="L14" s="67"/>
      <c r="M14" s="67"/>
      <c r="N14" s="67"/>
      <c r="O14" s="67"/>
    </row>
    <row r="15" spans="1:15" ht="16" x14ac:dyDescent="0.4">
      <c r="A15" s="21">
        <v>14</v>
      </c>
      <c r="B15" s="22" t="s">
        <v>138</v>
      </c>
      <c r="C15" s="22" t="s">
        <v>139</v>
      </c>
      <c r="D15" s="22" t="s">
        <v>140</v>
      </c>
      <c r="E15" s="22" t="s">
        <v>141</v>
      </c>
      <c r="F15" s="22" t="s">
        <v>18</v>
      </c>
      <c r="G15" s="22" t="s">
        <v>142</v>
      </c>
      <c r="H15" s="22" t="s">
        <v>37</v>
      </c>
      <c r="I15" s="21" t="s">
        <v>23</v>
      </c>
      <c r="J15" s="67"/>
      <c r="K15" s="67"/>
      <c r="L15" s="67"/>
      <c r="M15" s="67"/>
      <c r="N15" s="67"/>
      <c r="O15" s="67"/>
    </row>
    <row r="16" spans="1:15" ht="16" x14ac:dyDescent="0.4">
      <c r="A16" s="21">
        <v>15</v>
      </c>
      <c r="B16" s="22" t="s">
        <v>144</v>
      </c>
      <c r="C16" s="22" t="s">
        <v>145</v>
      </c>
      <c r="D16" s="22" t="s">
        <v>146</v>
      </c>
      <c r="E16" s="69" t="s">
        <v>147</v>
      </c>
      <c r="F16" s="22" t="s">
        <v>148</v>
      </c>
      <c r="G16" s="22" t="s">
        <v>149</v>
      </c>
      <c r="H16" s="22" t="s">
        <v>53</v>
      </c>
      <c r="I16" s="21" t="s">
        <v>23</v>
      </c>
      <c r="J16" s="67"/>
      <c r="K16" s="67"/>
      <c r="L16" s="67"/>
      <c r="M16" s="67"/>
      <c r="N16" s="67"/>
      <c r="O16" s="67"/>
    </row>
    <row r="17" spans="1:15" ht="16" x14ac:dyDescent="0.4">
      <c r="A17" s="21">
        <v>16</v>
      </c>
      <c r="B17" s="22" t="s">
        <v>150</v>
      </c>
      <c r="C17" s="22" t="s">
        <v>151</v>
      </c>
      <c r="D17" s="22">
        <v>993910646</v>
      </c>
      <c r="E17" s="22" t="s">
        <v>152</v>
      </c>
      <c r="F17" s="22" t="s">
        <v>28</v>
      </c>
      <c r="G17" s="22" t="s">
        <v>153</v>
      </c>
      <c r="H17" s="22" t="s">
        <v>37</v>
      </c>
      <c r="I17" s="21" t="s">
        <v>23</v>
      </c>
      <c r="J17" s="67"/>
      <c r="K17" s="67"/>
      <c r="L17" s="67"/>
      <c r="M17" s="67"/>
      <c r="N17" s="67"/>
      <c r="O17" s="67"/>
    </row>
    <row r="18" spans="1:15" ht="16" x14ac:dyDescent="0.4">
      <c r="A18" s="21">
        <v>17</v>
      </c>
      <c r="B18" s="13" t="s">
        <v>155</v>
      </c>
      <c r="C18" s="13" t="s">
        <v>156</v>
      </c>
      <c r="D18" s="13" t="s">
        <v>157</v>
      </c>
      <c r="E18" s="13"/>
      <c r="F18" s="13" t="s">
        <v>18</v>
      </c>
      <c r="G18" s="13" t="s">
        <v>158</v>
      </c>
      <c r="H18" s="13" t="s">
        <v>37</v>
      </c>
      <c r="I18" s="12" t="s">
        <v>23</v>
      </c>
      <c r="J18" s="16"/>
      <c r="K18" s="16"/>
      <c r="L18" s="16"/>
      <c r="M18" s="16"/>
      <c r="N18" s="16"/>
      <c r="O18" s="16"/>
    </row>
    <row r="19" spans="1:15" ht="16" x14ac:dyDescent="0.4">
      <c r="A19" s="26">
        <v>18</v>
      </c>
      <c r="B19" s="27" t="s">
        <v>169</v>
      </c>
      <c r="C19" s="27" t="s">
        <v>170</v>
      </c>
      <c r="D19" s="27">
        <v>998194499</v>
      </c>
      <c r="E19" s="28" t="s">
        <v>171</v>
      </c>
      <c r="F19" s="27" t="s">
        <v>148</v>
      </c>
      <c r="G19" s="27" t="s">
        <v>172</v>
      </c>
      <c r="H19" s="27" t="s">
        <v>53</v>
      </c>
      <c r="I19" s="26" t="s">
        <v>23</v>
      </c>
      <c r="J19" s="73"/>
      <c r="K19" s="73"/>
      <c r="L19" s="73"/>
      <c r="M19" s="73"/>
      <c r="N19" s="73"/>
      <c r="O19" s="73"/>
    </row>
    <row r="20" spans="1:15" ht="16" x14ac:dyDescent="0.4">
      <c r="A20" s="21">
        <v>19</v>
      </c>
      <c r="B20" s="13" t="s">
        <v>194</v>
      </c>
      <c r="C20" s="13"/>
      <c r="D20" s="13" t="s">
        <v>196</v>
      </c>
      <c r="E20" s="14" t="s">
        <v>197</v>
      </c>
      <c r="F20" s="13" t="s">
        <v>28</v>
      </c>
      <c r="G20" s="13" t="s">
        <v>198</v>
      </c>
      <c r="H20" s="13" t="s">
        <v>37</v>
      </c>
      <c r="I20" s="12" t="s">
        <v>23</v>
      </c>
      <c r="J20" s="16"/>
      <c r="K20" s="16"/>
      <c r="L20" s="16"/>
      <c r="M20" s="16"/>
      <c r="N20" s="16"/>
      <c r="O20" s="16"/>
    </row>
    <row r="21" spans="1:15" ht="16" x14ac:dyDescent="0.4">
      <c r="A21" s="21">
        <v>20</v>
      </c>
      <c r="B21" s="13" t="s">
        <v>199</v>
      </c>
      <c r="C21" s="13" t="s">
        <v>200</v>
      </c>
      <c r="D21" s="13" t="s">
        <v>201</v>
      </c>
      <c r="E21" s="14" t="s">
        <v>202</v>
      </c>
      <c r="F21" s="13" t="s">
        <v>18</v>
      </c>
      <c r="G21" s="13" t="s">
        <v>203</v>
      </c>
      <c r="H21" s="13" t="s">
        <v>204</v>
      </c>
      <c r="I21" s="12" t="s">
        <v>23</v>
      </c>
      <c r="J21" s="16"/>
      <c r="K21" s="16"/>
      <c r="L21" s="16"/>
      <c r="M21" s="16"/>
      <c r="N21" s="16"/>
      <c r="O21" s="16"/>
    </row>
    <row r="22" spans="1:15" ht="16" x14ac:dyDescent="0.4">
      <c r="A22" s="21">
        <v>21</v>
      </c>
      <c r="B22" s="22" t="s">
        <v>206</v>
      </c>
      <c r="C22" s="22" t="s">
        <v>207</v>
      </c>
      <c r="D22" s="22" t="s">
        <v>208</v>
      </c>
      <c r="E22" s="69" t="s">
        <v>209</v>
      </c>
      <c r="F22" s="22" t="s">
        <v>28</v>
      </c>
      <c r="G22" s="22" t="s">
        <v>210</v>
      </c>
      <c r="H22" s="22" t="s">
        <v>77</v>
      </c>
      <c r="I22" s="21" t="s">
        <v>23</v>
      </c>
      <c r="J22" s="67"/>
      <c r="K22" s="67"/>
      <c r="L22" s="67"/>
      <c r="M22" s="67"/>
      <c r="N22" s="67"/>
      <c r="O22" s="67"/>
    </row>
    <row r="23" spans="1:15" ht="62.5" x14ac:dyDescent="0.4">
      <c r="A23" s="21">
        <v>22</v>
      </c>
      <c r="B23" s="22" t="s">
        <v>222</v>
      </c>
      <c r="C23" s="22" t="s">
        <v>223</v>
      </c>
      <c r="D23" s="74" t="s">
        <v>224</v>
      </c>
      <c r="E23" s="22" t="s">
        <v>86</v>
      </c>
      <c r="F23" s="22" t="s">
        <v>28</v>
      </c>
      <c r="G23" s="22" t="s">
        <v>225</v>
      </c>
      <c r="H23" s="22" t="s">
        <v>53</v>
      </c>
      <c r="I23" s="21" t="s">
        <v>23</v>
      </c>
      <c r="J23" s="67"/>
      <c r="K23" s="67"/>
      <c r="L23" s="67"/>
      <c r="M23" s="67"/>
      <c r="N23" s="67"/>
      <c r="O23" s="67"/>
    </row>
    <row r="24" spans="1:15" ht="31" x14ac:dyDescent="0.4">
      <c r="A24" s="21">
        <v>23</v>
      </c>
      <c r="B24" s="22" t="s">
        <v>226</v>
      </c>
      <c r="C24" s="22" t="s">
        <v>227</v>
      </c>
      <c r="D24" s="75" t="s">
        <v>228</v>
      </c>
      <c r="E24" s="22" t="s">
        <v>229</v>
      </c>
      <c r="F24" s="22" t="s">
        <v>51</v>
      </c>
      <c r="G24" s="22" t="s">
        <v>230</v>
      </c>
      <c r="H24" s="71">
        <v>44833</v>
      </c>
      <c r="I24" s="21" t="s">
        <v>23</v>
      </c>
      <c r="J24" s="67"/>
      <c r="K24" s="67"/>
      <c r="L24" s="67"/>
      <c r="M24" s="67"/>
      <c r="N24" s="67"/>
      <c r="O24" s="67"/>
    </row>
    <row r="25" spans="1:15" ht="16" x14ac:dyDescent="0.4">
      <c r="A25" s="21">
        <v>24</v>
      </c>
      <c r="B25" s="13" t="s">
        <v>231</v>
      </c>
      <c r="C25" s="13" t="s">
        <v>232</v>
      </c>
      <c r="D25" s="13" t="s">
        <v>233</v>
      </c>
      <c r="E25" s="13" t="s">
        <v>234</v>
      </c>
      <c r="F25" s="13" t="s">
        <v>28</v>
      </c>
      <c r="G25" s="13" t="s">
        <v>168</v>
      </c>
      <c r="H25" s="13" t="s">
        <v>53</v>
      </c>
      <c r="I25" s="12" t="s">
        <v>23</v>
      </c>
      <c r="J25" s="16"/>
      <c r="K25" s="16"/>
      <c r="L25" s="16"/>
      <c r="M25" s="16"/>
      <c r="N25" s="16"/>
      <c r="O25" s="16"/>
    </row>
    <row r="26" spans="1:15" ht="16" x14ac:dyDescent="0.4">
      <c r="A26" s="21">
        <v>25</v>
      </c>
      <c r="B26" s="13" t="s">
        <v>235</v>
      </c>
      <c r="C26" s="13" t="s">
        <v>236</v>
      </c>
      <c r="D26" s="13" t="s">
        <v>237</v>
      </c>
      <c r="E26" s="13" t="s">
        <v>238</v>
      </c>
      <c r="F26" s="13" t="s">
        <v>18</v>
      </c>
      <c r="G26" s="13" t="s">
        <v>239</v>
      </c>
      <c r="H26" s="13" t="s">
        <v>20</v>
      </c>
      <c r="I26" s="12" t="s">
        <v>23</v>
      </c>
      <c r="J26" s="16"/>
      <c r="K26" s="16"/>
      <c r="L26" s="16"/>
      <c r="M26" s="16"/>
      <c r="N26" s="16"/>
      <c r="O26" s="16"/>
    </row>
    <row r="27" spans="1:15" ht="16" x14ac:dyDescent="0.4">
      <c r="A27" s="21">
        <v>26</v>
      </c>
      <c r="B27" s="76" t="s">
        <v>240</v>
      </c>
      <c r="C27" s="76" t="s">
        <v>241</v>
      </c>
      <c r="D27" s="76">
        <v>999951220</v>
      </c>
      <c r="E27" s="77" t="s">
        <v>242</v>
      </c>
      <c r="F27" s="76" t="s">
        <v>18</v>
      </c>
      <c r="G27" s="76" t="s">
        <v>243</v>
      </c>
      <c r="H27" s="76" t="s">
        <v>20</v>
      </c>
      <c r="I27" s="26" t="s">
        <v>23</v>
      </c>
      <c r="J27" s="73"/>
      <c r="K27" s="73"/>
      <c r="L27" s="73"/>
      <c r="M27" s="73"/>
      <c r="N27" s="73"/>
      <c r="O27" s="73"/>
    </row>
    <row r="28" spans="1:15" ht="16" x14ac:dyDescent="0.4">
      <c r="A28" s="21">
        <v>27</v>
      </c>
      <c r="B28" s="6" t="s">
        <v>244</v>
      </c>
      <c r="C28" s="6" t="s">
        <v>245</v>
      </c>
      <c r="D28" s="6" t="s">
        <v>246</v>
      </c>
      <c r="E28" s="9" t="s">
        <v>247</v>
      </c>
      <c r="F28" s="6" t="s">
        <v>28</v>
      </c>
      <c r="G28" s="6" t="s">
        <v>248</v>
      </c>
      <c r="H28" s="6" t="s">
        <v>109</v>
      </c>
      <c r="I28" s="5" t="s">
        <v>23</v>
      </c>
    </row>
    <row r="29" spans="1:15" ht="16" x14ac:dyDescent="0.4">
      <c r="A29" s="21">
        <v>28</v>
      </c>
      <c r="B29" s="22" t="s">
        <v>249</v>
      </c>
      <c r="C29" s="22" t="s">
        <v>250</v>
      </c>
      <c r="D29" s="22" t="s">
        <v>251</v>
      </c>
      <c r="E29" s="22" t="s">
        <v>252</v>
      </c>
      <c r="F29" s="22" t="s">
        <v>18</v>
      </c>
      <c r="G29" s="22" t="s">
        <v>253</v>
      </c>
      <c r="H29" s="22" t="s">
        <v>204</v>
      </c>
      <c r="I29" s="21" t="s">
        <v>23</v>
      </c>
      <c r="J29" s="67"/>
      <c r="K29" s="67"/>
      <c r="L29" s="67"/>
      <c r="M29" s="67"/>
      <c r="N29" s="67"/>
      <c r="O29" s="67"/>
    </row>
    <row r="30" spans="1:15" ht="31" x14ac:dyDescent="0.4">
      <c r="A30" s="26">
        <v>29</v>
      </c>
      <c r="B30" s="27" t="s">
        <v>258</v>
      </c>
      <c r="C30" s="27" t="s">
        <v>259</v>
      </c>
      <c r="D30" s="34" t="s">
        <v>260</v>
      </c>
      <c r="E30" s="28" t="s">
        <v>261</v>
      </c>
      <c r="F30" s="27" t="s">
        <v>28</v>
      </c>
      <c r="G30" s="27" t="s">
        <v>262</v>
      </c>
      <c r="H30" s="27" t="s">
        <v>109</v>
      </c>
      <c r="I30" s="26" t="s">
        <v>23</v>
      </c>
      <c r="J30" s="73"/>
      <c r="K30" s="73"/>
      <c r="L30" s="73"/>
      <c r="M30" s="73"/>
      <c r="N30" s="73"/>
      <c r="O30" s="73"/>
    </row>
    <row r="31" spans="1:15" ht="31" x14ac:dyDescent="0.4">
      <c r="A31" s="21">
        <v>30</v>
      </c>
      <c r="B31" s="22" t="s">
        <v>268</v>
      </c>
      <c r="C31" s="22" t="s">
        <v>269</v>
      </c>
      <c r="D31" s="78" t="s">
        <v>270</v>
      </c>
      <c r="E31" s="69" t="s">
        <v>271</v>
      </c>
      <c r="F31" s="22" t="s">
        <v>272</v>
      </c>
      <c r="G31" s="22" t="s">
        <v>273</v>
      </c>
      <c r="H31" s="71">
        <v>44833</v>
      </c>
      <c r="I31" s="21" t="s">
        <v>23</v>
      </c>
      <c r="J31" s="67"/>
      <c r="K31" s="67"/>
      <c r="L31" s="67"/>
      <c r="M31" s="67"/>
      <c r="N31" s="67"/>
      <c r="O31" s="67"/>
    </row>
    <row r="32" spans="1:15" ht="16" x14ac:dyDescent="0.4">
      <c r="A32" s="21">
        <v>31</v>
      </c>
      <c r="B32" s="22" t="s">
        <v>274</v>
      </c>
      <c r="C32" s="22" t="s">
        <v>275</v>
      </c>
      <c r="D32" s="22" t="s">
        <v>276</v>
      </c>
      <c r="E32" s="69" t="s">
        <v>277</v>
      </c>
      <c r="F32" s="22" t="s">
        <v>28</v>
      </c>
      <c r="G32" s="22" t="s">
        <v>278</v>
      </c>
      <c r="H32" s="22" t="s">
        <v>109</v>
      </c>
      <c r="I32" s="21" t="s">
        <v>23</v>
      </c>
      <c r="J32" s="67"/>
      <c r="K32" s="67"/>
      <c r="L32" s="67"/>
      <c r="M32" s="67"/>
      <c r="N32" s="67"/>
      <c r="O32" s="67"/>
    </row>
    <row r="33" spans="1:15" ht="16" x14ac:dyDescent="0.4">
      <c r="A33" s="21">
        <v>32</v>
      </c>
      <c r="B33" s="27" t="s">
        <v>279</v>
      </c>
      <c r="C33" s="27" t="s">
        <v>280</v>
      </c>
      <c r="D33" s="27">
        <v>997670143</v>
      </c>
      <c r="E33" s="28" t="s">
        <v>281</v>
      </c>
      <c r="F33" s="27" t="s">
        <v>282</v>
      </c>
      <c r="G33" s="27" t="s">
        <v>283</v>
      </c>
      <c r="H33" s="27" t="s">
        <v>109</v>
      </c>
      <c r="I33" s="26" t="s">
        <v>23</v>
      </c>
      <c r="J33" s="73"/>
      <c r="K33" s="73"/>
      <c r="L33" s="73"/>
      <c r="M33" s="73"/>
      <c r="N33" s="73"/>
      <c r="O33" s="73"/>
    </row>
    <row r="34" spans="1:15" ht="16" x14ac:dyDescent="0.4">
      <c r="A34" s="21">
        <v>33</v>
      </c>
      <c r="B34" s="22" t="s">
        <v>284</v>
      </c>
      <c r="C34" s="22" t="s">
        <v>285</v>
      </c>
      <c r="D34" s="22" t="s">
        <v>286</v>
      </c>
      <c r="E34" s="69" t="s">
        <v>287</v>
      </c>
      <c r="F34" s="22" t="s">
        <v>18</v>
      </c>
      <c r="G34" s="22" t="s">
        <v>288</v>
      </c>
      <c r="H34" s="22" t="s">
        <v>53</v>
      </c>
      <c r="I34" s="21" t="s">
        <v>23</v>
      </c>
      <c r="J34" s="67"/>
      <c r="K34" s="67"/>
      <c r="L34" s="67"/>
      <c r="M34" s="67"/>
      <c r="N34" s="67"/>
      <c r="O34" s="67"/>
    </row>
    <row r="35" spans="1:15" ht="16" x14ac:dyDescent="0.4">
      <c r="A35" s="21">
        <v>34</v>
      </c>
      <c r="B35" s="22" t="s">
        <v>289</v>
      </c>
      <c r="C35" s="22" t="s">
        <v>290</v>
      </c>
      <c r="D35" s="22" t="s">
        <v>291</v>
      </c>
      <c r="E35" s="69" t="s">
        <v>292</v>
      </c>
      <c r="F35" s="22" t="s">
        <v>18</v>
      </c>
      <c r="G35" s="22" t="s">
        <v>293</v>
      </c>
      <c r="H35" s="22" t="s">
        <v>109</v>
      </c>
      <c r="I35" s="21" t="s">
        <v>23</v>
      </c>
      <c r="J35" s="67"/>
      <c r="K35" s="67"/>
      <c r="L35" s="67"/>
      <c r="M35" s="67"/>
      <c r="N35" s="67"/>
      <c r="O35" s="67"/>
    </row>
    <row r="36" spans="1:15" ht="16" x14ac:dyDescent="0.4">
      <c r="A36" s="21">
        <v>35</v>
      </c>
      <c r="B36" s="22" t="s">
        <v>294</v>
      </c>
      <c r="C36" s="22" t="s">
        <v>295</v>
      </c>
      <c r="D36" s="22" t="s">
        <v>296</v>
      </c>
      <c r="E36" s="69" t="s">
        <v>297</v>
      </c>
      <c r="F36" s="22" t="s">
        <v>28</v>
      </c>
      <c r="G36" s="22" t="s">
        <v>298</v>
      </c>
      <c r="H36" s="22" t="s">
        <v>20</v>
      </c>
      <c r="I36" s="21" t="s">
        <v>23</v>
      </c>
      <c r="J36" s="67"/>
      <c r="K36" s="67"/>
      <c r="L36" s="67"/>
      <c r="M36" s="67"/>
      <c r="N36" s="67"/>
      <c r="O36" s="67"/>
    </row>
    <row r="37" spans="1:15" ht="62" x14ac:dyDescent="0.4">
      <c r="A37" s="26">
        <v>36</v>
      </c>
      <c r="B37" s="79" t="s">
        <v>336</v>
      </c>
      <c r="C37" s="79" t="s">
        <v>337</v>
      </c>
      <c r="D37" s="79" t="s">
        <v>338</v>
      </c>
      <c r="E37" s="80" t="s">
        <v>339</v>
      </c>
      <c r="F37" s="27" t="s">
        <v>28</v>
      </c>
      <c r="G37" s="27" t="s">
        <v>340</v>
      </c>
      <c r="H37" s="81">
        <v>44833</v>
      </c>
      <c r="I37" s="26" t="s">
        <v>23</v>
      </c>
      <c r="J37" s="73"/>
      <c r="K37" s="73"/>
      <c r="L37" s="73"/>
      <c r="M37" s="73"/>
      <c r="N37" s="73"/>
      <c r="O37" s="73"/>
    </row>
    <row r="38" spans="1:15" ht="124.5" x14ac:dyDescent="0.4">
      <c r="A38" s="26">
        <v>37</v>
      </c>
      <c r="B38" s="82" t="s">
        <v>342</v>
      </c>
      <c r="C38" s="82" t="s">
        <v>343</v>
      </c>
      <c r="D38" s="82" t="s">
        <v>344</v>
      </c>
      <c r="E38" s="83" t="s">
        <v>345</v>
      </c>
      <c r="F38" s="27" t="s">
        <v>28</v>
      </c>
      <c r="G38" s="27" t="s">
        <v>346</v>
      </c>
      <c r="H38" s="81">
        <v>44833</v>
      </c>
      <c r="I38" s="26" t="s">
        <v>23</v>
      </c>
      <c r="J38" s="73"/>
      <c r="K38" s="73"/>
      <c r="L38" s="73"/>
      <c r="M38" s="73"/>
      <c r="N38" s="73"/>
      <c r="O38" s="73"/>
    </row>
    <row r="39" spans="1:15" ht="93" x14ac:dyDescent="0.4">
      <c r="A39" s="26">
        <v>38</v>
      </c>
      <c r="B39" s="79" t="s">
        <v>347</v>
      </c>
      <c r="C39" s="79" t="s">
        <v>348</v>
      </c>
      <c r="D39" s="79" t="s">
        <v>349</v>
      </c>
      <c r="E39" s="84"/>
      <c r="F39" s="27" t="s">
        <v>18</v>
      </c>
      <c r="G39" s="27" t="s">
        <v>350</v>
      </c>
      <c r="H39" s="81">
        <v>44833</v>
      </c>
      <c r="I39" s="26" t="s">
        <v>23</v>
      </c>
      <c r="J39" s="73"/>
      <c r="K39" s="73"/>
      <c r="L39" s="73"/>
      <c r="M39" s="73"/>
      <c r="N39" s="73"/>
      <c r="O39" s="73"/>
    </row>
    <row r="40" spans="1:15" ht="31" x14ac:dyDescent="0.4">
      <c r="A40" s="26">
        <v>39</v>
      </c>
      <c r="B40" s="79" t="s">
        <v>351</v>
      </c>
      <c r="C40" s="79" t="s">
        <v>352</v>
      </c>
      <c r="D40" s="27" t="s">
        <v>353</v>
      </c>
      <c r="E40" s="38" t="s">
        <v>354</v>
      </c>
      <c r="F40" s="27" t="s">
        <v>18</v>
      </c>
      <c r="G40" s="27" t="s">
        <v>355</v>
      </c>
      <c r="H40" s="81">
        <v>44833</v>
      </c>
      <c r="I40" s="26" t="s">
        <v>23</v>
      </c>
      <c r="J40" s="73"/>
      <c r="K40" s="73"/>
      <c r="L40" s="73"/>
      <c r="M40" s="73"/>
      <c r="N40" s="73"/>
      <c r="O40" s="73"/>
    </row>
    <row r="41" spans="1:15" ht="46.5" x14ac:dyDescent="0.4">
      <c r="A41" s="26">
        <v>40</v>
      </c>
      <c r="B41" s="27" t="s">
        <v>356</v>
      </c>
      <c r="C41" s="27" t="s">
        <v>357</v>
      </c>
      <c r="D41" s="79" t="s">
        <v>358</v>
      </c>
      <c r="E41" s="28" t="s">
        <v>359</v>
      </c>
      <c r="F41" s="27" t="s">
        <v>360</v>
      </c>
      <c r="G41" s="79" t="s">
        <v>361</v>
      </c>
      <c r="H41" s="81">
        <v>44833</v>
      </c>
      <c r="I41" s="26" t="s">
        <v>23</v>
      </c>
      <c r="J41" s="73"/>
      <c r="K41" s="73"/>
      <c r="L41" s="73"/>
      <c r="M41" s="73"/>
      <c r="N41" s="73"/>
      <c r="O41" s="73"/>
    </row>
    <row r="42" spans="1:15" ht="48" x14ac:dyDescent="0.4">
      <c r="A42" s="26">
        <v>41</v>
      </c>
      <c r="B42" s="82" t="s">
        <v>362</v>
      </c>
      <c r="C42" s="82" t="s">
        <v>363</v>
      </c>
      <c r="D42" s="82" t="s">
        <v>364</v>
      </c>
      <c r="E42" s="83" t="s">
        <v>365</v>
      </c>
      <c r="F42" s="82" t="s">
        <v>28</v>
      </c>
      <c r="G42" s="82" t="s">
        <v>366</v>
      </c>
      <c r="H42" s="81">
        <v>44833</v>
      </c>
      <c r="I42" s="26" t="s">
        <v>23</v>
      </c>
      <c r="J42" s="73"/>
      <c r="K42" s="73"/>
      <c r="L42" s="73"/>
      <c r="M42" s="73"/>
      <c r="N42" s="73"/>
      <c r="O42" s="73"/>
    </row>
    <row r="43" spans="1:15" ht="64" x14ac:dyDescent="0.4">
      <c r="A43" s="26">
        <v>42</v>
      </c>
      <c r="B43" s="79" t="s">
        <v>367</v>
      </c>
      <c r="C43" s="79" t="s">
        <v>368</v>
      </c>
      <c r="D43" s="79" t="s">
        <v>369</v>
      </c>
      <c r="E43" s="80" t="s">
        <v>370</v>
      </c>
      <c r="F43" s="27" t="s">
        <v>28</v>
      </c>
      <c r="G43" s="85" t="s">
        <v>371</v>
      </c>
      <c r="H43" s="81">
        <v>44833</v>
      </c>
      <c r="I43" s="26" t="s">
        <v>23</v>
      </c>
      <c r="J43" s="73"/>
      <c r="K43" s="73"/>
      <c r="L43" s="73"/>
      <c r="M43" s="73"/>
      <c r="N43" s="73"/>
      <c r="O43" s="73"/>
    </row>
    <row r="44" spans="1:15" ht="62" x14ac:dyDescent="0.4">
      <c r="A44" s="26">
        <v>43</v>
      </c>
      <c r="B44" s="79" t="s">
        <v>372</v>
      </c>
      <c r="C44" s="79" t="s">
        <v>373</v>
      </c>
      <c r="D44" s="79" t="s">
        <v>374</v>
      </c>
      <c r="E44" s="84"/>
      <c r="F44" s="27" t="s">
        <v>28</v>
      </c>
      <c r="G44" s="85" t="s">
        <v>375</v>
      </c>
      <c r="H44" s="81">
        <v>44833</v>
      </c>
      <c r="I44" s="26" t="s">
        <v>23</v>
      </c>
      <c r="J44" s="73"/>
      <c r="K44" s="73"/>
      <c r="L44" s="73"/>
      <c r="M44" s="73"/>
      <c r="N44" s="73"/>
      <c r="O44" s="73"/>
    </row>
    <row r="45" spans="1:15" ht="46.5" x14ac:dyDescent="0.4">
      <c r="A45" s="26">
        <v>44</v>
      </c>
      <c r="B45" s="79" t="s">
        <v>377</v>
      </c>
      <c r="C45" s="79" t="s">
        <v>378</v>
      </c>
      <c r="D45" s="79" t="s">
        <v>379</v>
      </c>
      <c r="E45" s="84"/>
      <c r="F45" s="27" t="s">
        <v>28</v>
      </c>
      <c r="G45" s="85" t="s">
        <v>380</v>
      </c>
      <c r="H45" s="81">
        <v>44833</v>
      </c>
      <c r="I45" s="26" t="s">
        <v>23</v>
      </c>
      <c r="J45" s="73"/>
      <c r="K45" s="73"/>
      <c r="L45" s="73"/>
      <c r="M45" s="73"/>
      <c r="N45" s="73"/>
      <c r="O45" s="73"/>
    </row>
    <row r="46" spans="1:15" ht="93.5" x14ac:dyDescent="0.4">
      <c r="A46" s="26">
        <v>45</v>
      </c>
      <c r="B46" s="82" t="s">
        <v>381</v>
      </c>
      <c r="C46" s="82" t="s">
        <v>382</v>
      </c>
      <c r="D46" s="82" t="s">
        <v>383</v>
      </c>
      <c r="E46" s="83" t="s">
        <v>384</v>
      </c>
      <c r="F46" s="27" t="s">
        <v>28</v>
      </c>
      <c r="G46" s="85" t="s">
        <v>385</v>
      </c>
      <c r="H46" s="81">
        <v>44833</v>
      </c>
      <c r="I46" s="26" t="s">
        <v>23</v>
      </c>
      <c r="J46" s="73"/>
      <c r="K46" s="73"/>
      <c r="L46" s="73"/>
      <c r="M46" s="73"/>
      <c r="N46" s="73"/>
      <c r="O46" s="73"/>
    </row>
    <row r="47" spans="1:15" ht="62" x14ac:dyDescent="0.4">
      <c r="A47" s="21">
        <v>46</v>
      </c>
      <c r="B47" s="86" t="s">
        <v>386</v>
      </c>
      <c r="C47" s="86" t="s">
        <v>387</v>
      </c>
      <c r="D47" s="22" t="s">
        <v>388</v>
      </c>
      <c r="E47" s="22" t="s">
        <v>389</v>
      </c>
      <c r="F47" s="22" t="s">
        <v>18</v>
      </c>
      <c r="G47" s="87" t="s">
        <v>390</v>
      </c>
      <c r="H47" s="71">
        <v>44833</v>
      </c>
      <c r="I47" s="21" t="s">
        <v>23</v>
      </c>
      <c r="J47" s="67"/>
      <c r="K47" s="67"/>
      <c r="L47" s="67"/>
      <c r="M47" s="67"/>
      <c r="N47" s="67"/>
      <c r="O47" s="67"/>
    </row>
    <row r="48" spans="1:15" ht="80" x14ac:dyDescent="0.4">
      <c r="A48" s="21">
        <v>47</v>
      </c>
      <c r="B48" s="88" t="s">
        <v>391</v>
      </c>
      <c r="C48" s="88" t="s">
        <v>392</v>
      </c>
      <c r="D48" s="89" t="s">
        <v>393</v>
      </c>
      <c r="E48" s="90" t="s">
        <v>394</v>
      </c>
      <c r="F48" s="22" t="s">
        <v>18</v>
      </c>
      <c r="G48" s="87" t="s">
        <v>395</v>
      </c>
      <c r="H48" s="71">
        <v>44728</v>
      </c>
      <c r="I48" s="21" t="s">
        <v>23</v>
      </c>
      <c r="J48" s="67"/>
      <c r="K48" s="67"/>
      <c r="L48" s="67"/>
      <c r="M48" s="67"/>
      <c r="N48" s="67"/>
      <c r="O48" s="67"/>
    </row>
    <row r="49" spans="1:15" ht="16" x14ac:dyDescent="0.4">
      <c r="A49" s="21">
        <v>48</v>
      </c>
      <c r="B49" s="22" t="s">
        <v>396</v>
      </c>
      <c r="C49" s="22" t="s">
        <v>397</v>
      </c>
      <c r="D49" s="22" t="s">
        <v>398</v>
      </c>
      <c r="E49" s="22" t="s">
        <v>399</v>
      </c>
      <c r="F49" s="22" t="s">
        <v>18</v>
      </c>
      <c r="G49" s="22" t="s">
        <v>400</v>
      </c>
      <c r="H49" s="22" t="s">
        <v>401</v>
      </c>
      <c r="I49" s="21" t="s">
        <v>23</v>
      </c>
      <c r="J49" s="67"/>
      <c r="K49" s="67"/>
      <c r="L49" s="67"/>
      <c r="M49" s="67"/>
      <c r="N49" s="67"/>
      <c r="O49" s="67"/>
    </row>
    <row r="50" spans="1:15" ht="31" x14ac:dyDescent="0.4">
      <c r="A50" s="26">
        <v>49</v>
      </c>
      <c r="B50" s="27" t="s">
        <v>410</v>
      </c>
      <c r="C50" s="27" t="s">
        <v>411</v>
      </c>
      <c r="D50" s="34" t="s">
        <v>412</v>
      </c>
      <c r="E50" s="91" t="s">
        <v>413</v>
      </c>
      <c r="F50" s="27" t="s">
        <v>18</v>
      </c>
      <c r="G50" s="27" t="s">
        <v>414</v>
      </c>
      <c r="H50" s="81">
        <v>44359</v>
      </c>
      <c r="I50" s="26" t="s">
        <v>23</v>
      </c>
      <c r="J50" s="73"/>
      <c r="K50" s="73"/>
      <c r="L50" s="73"/>
      <c r="M50" s="73"/>
      <c r="N50" s="73"/>
      <c r="O50" s="73"/>
    </row>
    <row r="51" spans="1:15" ht="16" x14ac:dyDescent="0.4">
      <c r="A51" s="21">
        <v>50</v>
      </c>
      <c r="B51" s="22" t="s">
        <v>415</v>
      </c>
      <c r="C51" s="22" t="s">
        <v>416</v>
      </c>
      <c r="D51" s="22" t="s">
        <v>417</v>
      </c>
      <c r="E51" s="90" t="s">
        <v>418</v>
      </c>
      <c r="F51" s="22" t="s">
        <v>18</v>
      </c>
      <c r="G51" s="92" t="s">
        <v>419</v>
      </c>
      <c r="H51" s="93">
        <v>45044</v>
      </c>
      <c r="I51" s="21" t="s">
        <v>23</v>
      </c>
      <c r="J51" s="67"/>
      <c r="K51" s="67"/>
      <c r="L51" s="67"/>
      <c r="M51" s="67"/>
      <c r="N51" s="67"/>
      <c r="O51" s="67"/>
    </row>
    <row r="52" spans="1:15" ht="16" x14ac:dyDescent="0.4">
      <c r="A52" s="21">
        <v>51</v>
      </c>
      <c r="B52" s="22" t="s">
        <v>420</v>
      </c>
      <c r="C52" s="22" t="s">
        <v>421</v>
      </c>
      <c r="D52" s="22" t="s">
        <v>422</v>
      </c>
      <c r="E52" s="22"/>
      <c r="F52" s="22" t="s">
        <v>18</v>
      </c>
      <c r="G52" s="22" t="s">
        <v>423</v>
      </c>
      <c r="H52" s="93">
        <v>45044</v>
      </c>
      <c r="I52" s="21" t="s">
        <v>23</v>
      </c>
      <c r="J52" s="67"/>
      <c r="K52" s="67"/>
      <c r="L52" s="67"/>
      <c r="M52" s="67"/>
      <c r="N52" s="67"/>
      <c r="O52" s="67"/>
    </row>
    <row r="53" spans="1:15" ht="16" x14ac:dyDescent="0.4">
      <c r="A53" s="21">
        <v>52</v>
      </c>
      <c r="B53" s="94" t="s">
        <v>424</v>
      </c>
      <c r="C53" s="94" t="s">
        <v>425</v>
      </c>
      <c r="D53" s="95" t="s">
        <v>426</v>
      </c>
      <c r="E53" s="95" t="s">
        <v>427</v>
      </c>
      <c r="F53" s="94" t="s">
        <v>428</v>
      </c>
      <c r="G53" s="22" t="s">
        <v>429</v>
      </c>
      <c r="H53" s="93">
        <v>45044</v>
      </c>
      <c r="I53" s="21" t="s">
        <v>23</v>
      </c>
      <c r="J53" s="67"/>
      <c r="K53" s="67"/>
      <c r="L53" s="67"/>
      <c r="M53" s="67"/>
      <c r="N53" s="67"/>
      <c r="O53" s="67"/>
    </row>
    <row r="54" spans="1:15" ht="16" x14ac:dyDescent="0.4">
      <c r="A54" s="21">
        <v>53</v>
      </c>
      <c r="B54" s="22" t="s">
        <v>430</v>
      </c>
      <c r="C54" s="22" t="s">
        <v>431</v>
      </c>
      <c r="D54" s="96" t="s">
        <v>432</v>
      </c>
      <c r="E54" s="97" t="s">
        <v>433</v>
      </c>
      <c r="F54" s="22" t="s">
        <v>434</v>
      </c>
      <c r="G54" s="22" t="s">
        <v>435</v>
      </c>
      <c r="H54" s="93">
        <v>44911</v>
      </c>
      <c r="I54" s="21" t="s">
        <v>23</v>
      </c>
      <c r="J54" s="67"/>
      <c r="K54" s="67"/>
      <c r="L54" s="67"/>
      <c r="M54" s="67"/>
      <c r="N54" s="67"/>
      <c r="O54" s="67"/>
    </row>
    <row r="55" spans="1:15" ht="16" x14ac:dyDescent="0.4">
      <c r="A55" s="21">
        <v>54</v>
      </c>
      <c r="B55" s="22" t="s">
        <v>436</v>
      </c>
      <c r="C55" s="22" t="s">
        <v>437</v>
      </c>
      <c r="D55" s="96" t="s">
        <v>438</v>
      </c>
      <c r="E55" s="97" t="s">
        <v>439</v>
      </c>
      <c r="F55" s="22" t="s">
        <v>18</v>
      </c>
      <c r="G55" s="22" t="s">
        <v>440</v>
      </c>
      <c r="H55" s="93">
        <v>44728</v>
      </c>
      <c r="I55" s="98" t="s">
        <v>23</v>
      </c>
      <c r="J55" s="67"/>
      <c r="K55" s="67"/>
      <c r="L55" s="67"/>
      <c r="M55" s="67"/>
      <c r="N55" s="67"/>
      <c r="O55" s="67"/>
    </row>
    <row r="56" spans="1:15" ht="16" x14ac:dyDescent="0.4">
      <c r="A56" s="21">
        <v>55</v>
      </c>
      <c r="B56" s="22" t="s">
        <v>441</v>
      </c>
      <c r="C56" s="22" t="s">
        <v>442</v>
      </c>
      <c r="D56" s="99">
        <v>999374165</v>
      </c>
      <c r="E56" s="97" t="s">
        <v>443</v>
      </c>
      <c r="F56" s="22" t="s">
        <v>18</v>
      </c>
      <c r="G56" s="22" t="s">
        <v>444</v>
      </c>
      <c r="H56" s="93">
        <v>45149</v>
      </c>
      <c r="I56" s="98" t="s">
        <v>23</v>
      </c>
      <c r="J56" s="67"/>
      <c r="K56" s="67"/>
      <c r="L56" s="67"/>
      <c r="M56" s="67"/>
      <c r="N56" s="67"/>
      <c r="O56" s="67"/>
    </row>
    <row r="57" spans="1:15" ht="16" x14ac:dyDescent="0.4">
      <c r="A57" s="21">
        <v>56</v>
      </c>
      <c r="B57" s="22" t="s">
        <v>445</v>
      </c>
      <c r="C57" s="96" t="s">
        <v>446</v>
      </c>
      <c r="D57" s="96" t="s">
        <v>447</v>
      </c>
      <c r="E57" s="97" t="s">
        <v>448</v>
      </c>
      <c r="F57" s="22" t="s">
        <v>449</v>
      </c>
      <c r="G57" s="22" t="s">
        <v>450</v>
      </c>
      <c r="H57" s="93">
        <v>45149</v>
      </c>
      <c r="I57" s="98" t="s">
        <v>23</v>
      </c>
      <c r="J57" s="67"/>
      <c r="K57" s="67"/>
      <c r="L57" s="67"/>
      <c r="M57" s="67"/>
      <c r="N57" s="67"/>
      <c r="O57" s="67"/>
    </row>
    <row r="58" spans="1:15" ht="16" x14ac:dyDescent="0.4">
      <c r="A58" s="21">
        <v>57</v>
      </c>
      <c r="B58" s="22" t="s">
        <v>451</v>
      </c>
      <c r="C58" s="22" t="s">
        <v>452</v>
      </c>
      <c r="D58" s="96" t="s">
        <v>453</v>
      </c>
      <c r="E58" s="97" t="s">
        <v>454</v>
      </c>
      <c r="F58" s="22" t="s">
        <v>28</v>
      </c>
      <c r="G58" s="22" t="s">
        <v>455</v>
      </c>
      <c r="H58" s="93">
        <v>45149</v>
      </c>
      <c r="I58" s="98" t="s">
        <v>23</v>
      </c>
      <c r="J58" s="67"/>
      <c r="K58" s="67"/>
      <c r="L58" s="67"/>
      <c r="M58" s="67"/>
      <c r="N58" s="67"/>
      <c r="O58" s="67"/>
    </row>
    <row r="59" spans="1:15" ht="144" x14ac:dyDescent="0.4">
      <c r="A59" s="21">
        <v>58</v>
      </c>
      <c r="B59" s="96" t="s">
        <v>456</v>
      </c>
      <c r="C59" s="100" t="s">
        <v>457</v>
      </c>
      <c r="D59" s="96" t="s">
        <v>458</v>
      </c>
      <c r="E59" s="97" t="s">
        <v>459</v>
      </c>
      <c r="F59" s="96" t="s">
        <v>28</v>
      </c>
      <c r="G59" s="96" t="s">
        <v>460</v>
      </c>
      <c r="H59" s="93">
        <v>45149</v>
      </c>
      <c r="I59" s="98" t="s">
        <v>23</v>
      </c>
      <c r="J59" s="67"/>
      <c r="K59" s="67"/>
      <c r="L59" s="67"/>
      <c r="M59" s="67"/>
      <c r="N59" s="67"/>
      <c r="O59" s="67"/>
    </row>
    <row r="60" spans="1:15" ht="17" x14ac:dyDescent="0.45">
      <c r="A60" s="21">
        <v>59</v>
      </c>
      <c r="B60" s="22" t="s">
        <v>332</v>
      </c>
      <c r="C60" s="22" t="s">
        <v>333</v>
      </c>
      <c r="D60" s="86">
        <v>999455145</v>
      </c>
      <c r="E60" s="101"/>
      <c r="F60" s="22" t="s">
        <v>51</v>
      </c>
      <c r="G60" s="22" t="s">
        <v>335</v>
      </c>
      <c r="H60" s="22" t="s">
        <v>310</v>
      </c>
      <c r="I60" s="22" t="s">
        <v>311</v>
      </c>
      <c r="J60" s="22" t="s">
        <v>30</v>
      </c>
      <c r="K60" s="23">
        <v>980000</v>
      </c>
      <c r="L60" s="23" t="s">
        <v>61</v>
      </c>
      <c r="M60" s="23" t="s">
        <v>61</v>
      </c>
      <c r="N60" s="102">
        <v>580000</v>
      </c>
      <c r="O60" s="22" t="s">
        <v>31</v>
      </c>
    </row>
    <row r="61" spans="1:15" ht="16" x14ac:dyDescent="0.4">
      <c r="A61" s="21">
        <v>60</v>
      </c>
      <c r="B61" s="22" t="s">
        <v>104</v>
      </c>
      <c r="C61" s="22" t="s">
        <v>105</v>
      </c>
      <c r="D61" s="22" t="s">
        <v>106</v>
      </c>
      <c r="E61" s="69" t="s">
        <v>107</v>
      </c>
      <c r="F61" s="22" t="s">
        <v>28</v>
      </c>
      <c r="G61" s="22" t="s">
        <v>108</v>
      </c>
      <c r="H61" s="22" t="s">
        <v>109</v>
      </c>
      <c r="I61" s="22" t="s">
        <v>110</v>
      </c>
      <c r="J61" s="22" t="s">
        <v>22</v>
      </c>
      <c r="K61" s="23">
        <v>980000</v>
      </c>
      <c r="L61" s="23" t="s">
        <v>61</v>
      </c>
      <c r="M61" s="23">
        <v>420000</v>
      </c>
      <c r="N61" s="23"/>
      <c r="O61" s="22" t="s">
        <v>23</v>
      </c>
    </row>
    <row r="62" spans="1:15" ht="16" x14ac:dyDescent="0.4">
      <c r="A62" s="21">
        <v>61</v>
      </c>
      <c r="B62" s="99" t="s">
        <v>186</v>
      </c>
      <c r="C62" s="99" t="s">
        <v>187</v>
      </c>
      <c r="D62" s="99">
        <v>888821137</v>
      </c>
      <c r="E62" s="103" t="s">
        <v>188</v>
      </c>
      <c r="F62" s="99" t="s">
        <v>28</v>
      </c>
      <c r="G62" s="99" t="s">
        <v>189</v>
      </c>
      <c r="H62" s="99" t="s">
        <v>37</v>
      </c>
      <c r="I62" s="99" t="s">
        <v>38</v>
      </c>
      <c r="J62" s="99" t="s">
        <v>55</v>
      </c>
      <c r="K62" s="104">
        <v>980000</v>
      </c>
      <c r="L62" s="104" t="s">
        <v>61</v>
      </c>
      <c r="M62" s="104"/>
      <c r="N62" s="104"/>
      <c r="O62" s="99" t="s">
        <v>31</v>
      </c>
    </row>
    <row r="63" spans="1:15" ht="16" x14ac:dyDescent="0.4">
      <c r="A63" s="21">
        <v>62</v>
      </c>
      <c r="B63" s="22" t="s">
        <v>120</v>
      </c>
      <c r="C63" s="22" t="s">
        <v>121</v>
      </c>
      <c r="D63" s="22">
        <v>886599990</v>
      </c>
      <c r="E63" s="22" t="s">
        <v>122</v>
      </c>
      <c r="F63" s="22" t="s">
        <v>18</v>
      </c>
      <c r="G63" s="22" t="s">
        <v>123</v>
      </c>
      <c r="H63" s="22" t="s">
        <v>109</v>
      </c>
      <c r="I63" s="22" t="s">
        <v>110</v>
      </c>
      <c r="J63" s="22" t="s">
        <v>60</v>
      </c>
      <c r="K63" s="23">
        <v>980000</v>
      </c>
      <c r="L63" s="23" t="s">
        <v>61</v>
      </c>
      <c r="M63" s="23">
        <v>0</v>
      </c>
      <c r="N63" s="23">
        <v>0</v>
      </c>
      <c r="O63" s="22" t="s">
        <v>31</v>
      </c>
    </row>
    <row r="64" spans="1:15" ht="62.5" x14ac:dyDescent="0.4">
      <c r="A64" s="21">
        <v>54</v>
      </c>
      <c r="B64" s="22" t="s">
        <v>299</v>
      </c>
      <c r="C64" s="22" t="s">
        <v>300</v>
      </c>
      <c r="D64" s="105" t="s">
        <v>301</v>
      </c>
      <c r="E64" s="69" t="s">
        <v>302</v>
      </c>
      <c r="F64" s="22" t="s">
        <v>28</v>
      </c>
      <c r="G64" s="22" t="s">
        <v>303</v>
      </c>
      <c r="H64" s="22" t="s">
        <v>86</v>
      </c>
      <c r="I64" s="22" t="s">
        <v>86</v>
      </c>
      <c r="J64" s="22" t="s">
        <v>86</v>
      </c>
      <c r="K64" s="23">
        <v>980000</v>
      </c>
      <c r="L64" s="23" t="s">
        <v>61</v>
      </c>
      <c r="M64" s="23">
        <v>0</v>
      </c>
      <c r="N64" s="23">
        <v>0</v>
      </c>
      <c r="O64" s="22" t="s">
        <v>31</v>
      </c>
    </row>
    <row r="65" spans="1:15" ht="16" x14ac:dyDescent="0.4">
      <c r="A65" s="21">
        <v>56</v>
      </c>
      <c r="B65" s="22" t="s">
        <v>313</v>
      </c>
      <c r="C65" s="22" t="s">
        <v>314</v>
      </c>
      <c r="D65" s="22">
        <v>888604260</v>
      </c>
      <c r="E65" s="22" t="s">
        <v>315</v>
      </c>
      <c r="F65" s="22" t="s">
        <v>18</v>
      </c>
      <c r="G65" s="22" t="s">
        <v>316</v>
      </c>
      <c r="H65" s="22" t="s">
        <v>310</v>
      </c>
      <c r="I65" s="22" t="s">
        <v>311</v>
      </c>
      <c r="J65" s="22" t="s">
        <v>55</v>
      </c>
      <c r="K65" s="23">
        <v>490000</v>
      </c>
      <c r="L65" s="23" t="s">
        <v>61</v>
      </c>
      <c r="M65" s="23">
        <v>0</v>
      </c>
      <c r="N65" s="23">
        <v>0</v>
      </c>
      <c r="O65" s="22" t="s">
        <v>31</v>
      </c>
    </row>
  </sheetData>
  <hyperlinks>
    <hyperlink ref="E3" r:id="rId1" xr:uid="{DF31EC9E-CDB4-441A-B874-14A2D38642E3}"/>
    <hyperlink ref="E5" r:id="rId2" xr:uid="{3748B2D2-B246-44F4-9098-553ADD2AF3D3}"/>
    <hyperlink ref="E6" r:id="rId3" display="tropicaldrillingco@gmail.com" xr:uid="{0CC1E7E1-9DAF-4C79-B8C2-1CE5C344BF19}"/>
    <hyperlink ref="E8" r:id="rId4" xr:uid="{3FF9F41C-883C-45A3-9B44-2102792A81FB}"/>
    <hyperlink ref="E9" r:id="rId5" xr:uid="{8B6D3FCC-3567-455B-801A-643FC0617653}"/>
    <hyperlink ref="E13" r:id="rId6" xr:uid="{197E3CDC-F838-4155-A8E3-D61235F3FC80}"/>
    <hyperlink ref="E14" r:id="rId7" xr:uid="{BF5FCA57-EF6F-47FB-9B43-A92C00F4DCB5}"/>
    <hyperlink ref="E16" r:id="rId8" xr:uid="{6C6E742B-BFB7-44FA-9FB3-904650B9B39A}"/>
    <hyperlink ref="E19" r:id="rId9" xr:uid="{D73190EC-75C1-4715-9808-AC1D3B5AABCC}"/>
    <hyperlink ref="E22" r:id="rId10" xr:uid="{5317D141-A0CC-4047-997B-4B712A9CEFC2}"/>
    <hyperlink ref="E21" r:id="rId11" xr:uid="{A34D403C-0535-4588-9C2B-7A205B783660}"/>
    <hyperlink ref="E20" r:id="rId12" xr:uid="{2F9C5337-F34A-4DA4-9AD8-D17D4679B443}"/>
    <hyperlink ref="E28" r:id="rId13" xr:uid="{2A90A27C-6D92-4135-983A-EF22776C6B19}"/>
    <hyperlink ref="E27" r:id="rId14" xr:uid="{C57823F5-4768-4EC3-9E10-7A1E450D56D4}"/>
    <hyperlink ref="E30" r:id="rId15" xr:uid="{D3F1CE81-26B5-4802-BFEC-2B37D8628B4D}"/>
    <hyperlink ref="E34" r:id="rId16" xr:uid="{9E9ACE36-8F74-4B43-979D-682C41601D8D}"/>
    <hyperlink ref="E35" r:id="rId17" xr:uid="{1EF65093-7A6C-4AEC-8121-F95E4337F0DF}"/>
    <hyperlink ref="E31" r:id="rId18" xr:uid="{2EC47EDE-69E0-44F9-AFDE-D1A928270DE9}"/>
    <hyperlink ref="E32" r:id="rId19" xr:uid="{7CBCCA58-A6B8-4355-AA71-C827CD85412A}"/>
    <hyperlink ref="E33" r:id="rId20" xr:uid="{E71F308C-547B-4A4A-87B8-083FCD96BA7B}"/>
    <hyperlink ref="E36" r:id="rId21" xr:uid="{84AB9688-C448-4D47-BB1F-5778D22213C0}"/>
    <hyperlink ref="E41" r:id="rId22" xr:uid="{B7FCF770-5E24-4788-92CA-AB76BF576614}"/>
    <hyperlink ref="E37" r:id="rId23" xr:uid="{32A0E78A-A77B-4B71-92B0-AFF103AB35AB}"/>
    <hyperlink ref="E38" r:id="rId24" xr:uid="{8613557A-120C-49A9-839E-759D3E057C45}"/>
    <hyperlink ref="E42" r:id="rId25" xr:uid="{1A16625C-50CE-4C50-82D3-A4872CB10945}"/>
    <hyperlink ref="E43" r:id="rId26" xr:uid="{2349C574-D88C-4408-87C4-7A78804C680E}"/>
    <hyperlink ref="E48" r:id="rId27" xr:uid="{0C24C002-2A2E-46C3-9D6A-410FC7C6F3E9}"/>
    <hyperlink ref="E40" r:id="rId28" xr:uid="{B1191628-A672-4E6B-9FFC-ABBEE985FCC7}"/>
    <hyperlink ref="E46" r:id="rId29" xr:uid="{0576BFAD-9262-49BB-848E-7870C04F32A8}"/>
    <hyperlink ref="E51" r:id="rId30" xr:uid="{FC8D7582-FDC5-4D12-98C2-16F6AB780D0C}"/>
    <hyperlink ref="E54" r:id="rId31" xr:uid="{9BA195B9-FE9F-4806-80DB-85411D1AF9B1}"/>
    <hyperlink ref="E55" r:id="rId32" xr:uid="{ABA7EDC2-9184-46DF-8847-7BD91BF47F20}"/>
    <hyperlink ref="E59" r:id="rId33" xr:uid="{A9131AFD-CCCC-4EE8-8A2E-7FA7E8CE3A14}"/>
    <hyperlink ref="E57" r:id="rId34" xr:uid="{FABE2784-8503-48A7-8806-C66A43493B32}"/>
    <hyperlink ref="E58" r:id="rId35" xr:uid="{CEA2C53A-7F5C-4F1A-8412-1575C911FD79}"/>
    <hyperlink ref="E56" r:id="rId36" xr:uid="{485D9D9B-9B7C-4D03-9831-C1A01C81EE77}"/>
    <hyperlink ref="E61" r:id="rId37" xr:uid="{83AC390F-7C34-4C0D-B432-6CEE5FF206A9}"/>
    <hyperlink ref="E62" r:id="rId38" xr:uid="{8E6C91E0-BCA3-4350-9639-009C65951C6D}"/>
    <hyperlink ref="E64" r:id="rId39" xr:uid="{BEA5C58D-EC19-49AB-BCBB-2B7369B0F7B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9C1F-EBE6-4101-ABC7-E7139B9FB7F4}">
  <dimension ref="A1:AG60"/>
  <sheetViews>
    <sheetView workbookViewId="0">
      <selection activeCell="J15" sqref="J15"/>
    </sheetView>
  </sheetViews>
  <sheetFormatPr defaultRowHeight="14.5" x14ac:dyDescent="0.35"/>
  <sheetData>
    <row r="1" spans="1:33" ht="15" thickBot="1" x14ac:dyDescent="0.4">
      <c r="A1" s="106" t="s">
        <v>495</v>
      </c>
      <c r="B1" s="107" t="s">
        <v>496</v>
      </c>
      <c r="C1" s="108"/>
      <c r="D1" s="109"/>
      <c r="E1" s="109"/>
      <c r="F1" s="109"/>
      <c r="G1" s="109"/>
      <c r="H1" s="107" t="s">
        <v>497</v>
      </c>
      <c r="I1" s="110" t="s">
        <v>498</v>
      </c>
      <c r="J1" s="111"/>
      <c r="K1" s="107" t="s">
        <v>499</v>
      </c>
      <c r="L1" s="107" t="s">
        <v>500</v>
      </c>
      <c r="M1" s="4"/>
      <c r="N1" s="4"/>
      <c r="O1" s="4"/>
      <c r="P1" s="4"/>
      <c r="Q1" s="4"/>
      <c r="R1" s="112"/>
      <c r="S1" s="4"/>
      <c r="T1" s="4"/>
      <c r="U1" s="113" t="s">
        <v>501</v>
      </c>
      <c r="V1" s="113" t="s">
        <v>502</v>
      </c>
      <c r="W1" s="114" t="s">
        <v>503</v>
      </c>
      <c r="X1" s="115"/>
      <c r="Y1" s="115"/>
      <c r="Z1" s="115"/>
      <c r="AA1" s="115"/>
      <c r="AB1" s="115"/>
      <c r="AC1" s="115"/>
      <c r="AD1" s="115"/>
      <c r="AE1" s="115"/>
      <c r="AF1" s="116"/>
      <c r="AG1" s="4"/>
    </row>
    <row r="2" spans="1:33" ht="59" thickBot="1" x14ac:dyDescent="0.45">
      <c r="A2" s="117"/>
      <c r="B2" s="118"/>
      <c r="C2" s="119" t="s">
        <v>504</v>
      </c>
      <c r="D2" s="120" t="s">
        <v>505</v>
      </c>
      <c r="E2" s="120" t="s">
        <v>506</v>
      </c>
      <c r="F2" s="120" t="s">
        <v>507</v>
      </c>
      <c r="G2" s="121" t="s">
        <v>508</v>
      </c>
      <c r="H2" s="118"/>
      <c r="I2" s="122" t="s">
        <v>509</v>
      </c>
      <c r="J2" s="122" t="s">
        <v>510</v>
      </c>
      <c r="K2" s="118"/>
      <c r="L2" s="118"/>
      <c r="M2" s="123" t="s">
        <v>511</v>
      </c>
      <c r="N2" s="124" t="s">
        <v>512</v>
      </c>
      <c r="O2" s="125" t="s">
        <v>513</v>
      </c>
      <c r="P2" s="124" t="s">
        <v>514</v>
      </c>
      <c r="Q2" s="124" t="s">
        <v>515</v>
      </c>
      <c r="R2" s="126" t="s">
        <v>516</v>
      </c>
      <c r="S2" s="1" t="s">
        <v>517</v>
      </c>
      <c r="T2" s="127" t="s">
        <v>518</v>
      </c>
      <c r="U2" s="128"/>
      <c r="V2" s="128"/>
      <c r="W2" s="129">
        <f>2023</f>
        <v>2023</v>
      </c>
      <c r="X2" s="129">
        <f>W2-1</f>
        <v>2022</v>
      </c>
      <c r="Y2" s="129">
        <f>X2-1</f>
        <v>2021</v>
      </c>
      <c r="Z2" s="129">
        <f>Y2-1</f>
        <v>2020</v>
      </c>
      <c r="AA2" s="129">
        <f>Z2-1</f>
        <v>2019</v>
      </c>
      <c r="AB2" s="129">
        <f>AA2-1</f>
        <v>2018</v>
      </c>
      <c r="AC2" s="129">
        <f>AB2-1</f>
        <v>2017</v>
      </c>
      <c r="AD2" s="129">
        <f>AC2-1</f>
        <v>2016</v>
      </c>
      <c r="AE2" s="129">
        <f>AD2-1</f>
        <v>2015</v>
      </c>
      <c r="AF2" s="129">
        <f>AE2-1</f>
        <v>2014</v>
      </c>
      <c r="AG2" s="4"/>
    </row>
    <row r="3" spans="1:33" ht="15" thickBot="1" x14ac:dyDescent="0.4">
      <c r="A3" s="130">
        <v>1</v>
      </c>
      <c r="B3" s="131" t="s">
        <v>519</v>
      </c>
      <c r="C3" s="131" t="s">
        <v>520</v>
      </c>
      <c r="D3" s="131" t="s">
        <v>61</v>
      </c>
      <c r="E3" s="131">
        <v>885913867</v>
      </c>
      <c r="F3" s="131" t="s">
        <v>61</v>
      </c>
      <c r="G3" s="131" t="s">
        <v>521</v>
      </c>
      <c r="H3" s="131" t="s">
        <v>522</v>
      </c>
      <c r="I3" s="131">
        <v>643867</v>
      </c>
      <c r="J3" s="131">
        <v>8479130</v>
      </c>
      <c r="K3" s="131" t="s">
        <v>35</v>
      </c>
      <c r="L3" s="129"/>
      <c r="M3" s="132"/>
      <c r="N3" s="133"/>
      <c r="O3" s="133"/>
      <c r="P3" s="132"/>
      <c r="Q3" s="132"/>
      <c r="R3" s="134">
        <v>5</v>
      </c>
      <c r="S3" s="132" t="s">
        <v>523</v>
      </c>
      <c r="T3" s="132" t="s">
        <v>524</v>
      </c>
      <c r="U3" s="135"/>
      <c r="V3" s="136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t="s">
        <v>525</v>
      </c>
    </row>
    <row r="4" spans="1:33" ht="15" thickBot="1" x14ac:dyDescent="0.4">
      <c r="A4" s="130">
        <v>2</v>
      </c>
      <c r="B4" s="131" t="s">
        <v>526</v>
      </c>
      <c r="C4" s="131" t="s">
        <v>527</v>
      </c>
      <c r="D4" s="131" t="s">
        <v>526</v>
      </c>
      <c r="E4" s="131">
        <v>999246782</v>
      </c>
      <c r="F4" s="131" t="s">
        <v>61</v>
      </c>
      <c r="G4" s="131" t="s">
        <v>528</v>
      </c>
      <c r="H4" s="131" t="s">
        <v>529</v>
      </c>
      <c r="I4" s="131">
        <v>643700</v>
      </c>
      <c r="J4" s="131">
        <v>8556482</v>
      </c>
      <c r="K4" s="131" t="s">
        <v>434</v>
      </c>
      <c r="L4" s="129"/>
      <c r="M4" s="132"/>
      <c r="N4" s="133"/>
      <c r="O4" s="133"/>
      <c r="P4" s="132"/>
      <c r="Q4" s="132"/>
      <c r="R4" s="134">
        <v>2</v>
      </c>
      <c r="S4" s="132" t="s">
        <v>523</v>
      </c>
      <c r="T4" s="132" t="s">
        <v>530</v>
      </c>
      <c r="U4" s="135"/>
      <c r="V4" s="136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t="s">
        <v>531</v>
      </c>
    </row>
    <row r="5" spans="1:33" ht="15" thickBot="1" x14ac:dyDescent="0.4">
      <c r="A5" s="130">
        <v>3</v>
      </c>
      <c r="B5" s="131" t="s">
        <v>532</v>
      </c>
      <c r="C5" s="131" t="s">
        <v>533</v>
      </c>
      <c r="D5" s="131" t="s">
        <v>61</v>
      </c>
      <c r="E5" s="131">
        <v>998020240</v>
      </c>
      <c r="F5" s="131" t="s">
        <v>61</v>
      </c>
      <c r="G5" s="131" t="s">
        <v>61</v>
      </c>
      <c r="H5" s="131" t="s">
        <v>533</v>
      </c>
      <c r="I5" s="131">
        <v>640920</v>
      </c>
      <c r="J5" s="131">
        <v>8572611</v>
      </c>
      <c r="K5" s="131" t="s">
        <v>434</v>
      </c>
      <c r="L5" s="129"/>
      <c r="M5" s="132"/>
      <c r="N5" s="133"/>
      <c r="O5" s="133"/>
      <c r="P5" s="132"/>
      <c r="Q5" s="132"/>
      <c r="R5" s="134">
        <v>2</v>
      </c>
      <c r="S5" s="132" t="s">
        <v>523</v>
      </c>
      <c r="T5" s="132" t="s">
        <v>530</v>
      </c>
      <c r="U5" s="135"/>
      <c r="V5" s="136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t="s">
        <v>531</v>
      </c>
    </row>
    <row r="6" spans="1:33" ht="15" thickBot="1" x14ac:dyDescent="0.4">
      <c r="A6" s="130">
        <v>4</v>
      </c>
      <c r="B6" s="131" t="s">
        <v>534</v>
      </c>
      <c r="C6" s="131" t="s">
        <v>535</v>
      </c>
      <c r="D6" s="131" t="s">
        <v>536</v>
      </c>
      <c r="E6" s="131">
        <v>999244574</v>
      </c>
      <c r="F6" s="131" t="s">
        <v>61</v>
      </c>
      <c r="G6" s="131" t="s">
        <v>61</v>
      </c>
      <c r="H6" s="131" t="s">
        <v>535</v>
      </c>
      <c r="I6" s="131">
        <v>639222</v>
      </c>
      <c r="J6" s="131">
        <v>8570999</v>
      </c>
      <c r="K6" s="131" t="s">
        <v>434</v>
      </c>
      <c r="L6" s="129"/>
      <c r="M6" s="132"/>
      <c r="N6" s="133"/>
      <c r="O6" s="133"/>
      <c r="P6" s="132"/>
      <c r="Q6" s="132"/>
      <c r="R6" s="134">
        <v>2</v>
      </c>
      <c r="S6" s="132" t="s">
        <v>523</v>
      </c>
      <c r="T6" s="132" t="s">
        <v>524</v>
      </c>
      <c r="U6" s="135"/>
      <c r="V6" s="136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t="s">
        <v>537</v>
      </c>
    </row>
    <row r="7" spans="1:33" ht="15" thickBot="1" x14ac:dyDescent="0.4">
      <c r="A7" s="130">
        <v>5</v>
      </c>
      <c r="B7" s="131" t="s">
        <v>538</v>
      </c>
      <c r="C7" s="131" t="s">
        <v>539</v>
      </c>
      <c r="D7" s="131" t="s">
        <v>540</v>
      </c>
      <c r="E7" s="131" t="s">
        <v>541</v>
      </c>
      <c r="F7" s="138" t="s">
        <v>542</v>
      </c>
      <c r="G7" s="131" t="s">
        <v>543</v>
      </c>
      <c r="H7" s="131" t="s">
        <v>539</v>
      </c>
      <c r="I7" s="131">
        <v>742617</v>
      </c>
      <c r="J7" s="131">
        <v>8238047</v>
      </c>
      <c r="K7" s="131" t="s">
        <v>544</v>
      </c>
      <c r="L7" s="129"/>
      <c r="M7" s="132"/>
      <c r="N7" s="133"/>
      <c r="O7" s="133"/>
      <c r="P7" s="132"/>
      <c r="Q7" s="132"/>
      <c r="R7" s="134" t="s">
        <v>61</v>
      </c>
      <c r="S7" s="132" t="s">
        <v>523</v>
      </c>
      <c r="T7" s="132" t="s">
        <v>545</v>
      </c>
      <c r="U7" s="135"/>
      <c r="V7" s="136"/>
      <c r="W7" s="137"/>
      <c r="X7" s="137"/>
      <c r="Y7" s="137"/>
      <c r="Z7" s="137"/>
      <c r="AA7" s="137"/>
      <c r="AB7" s="137"/>
      <c r="AC7" s="137"/>
      <c r="AD7" s="137"/>
      <c r="AE7" s="137"/>
      <c r="AF7" s="137"/>
    </row>
    <row r="8" spans="1:33" ht="15" thickBot="1" x14ac:dyDescent="0.4">
      <c r="A8" s="130">
        <v>6</v>
      </c>
      <c r="B8" s="131" t="s">
        <v>546</v>
      </c>
      <c r="C8" s="131" t="s">
        <v>539</v>
      </c>
      <c r="D8" s="131" t="s">
        <v>540</v>
      </c>
      <c r="E8" s="131" t="s">
        <v>541</v>
      </c>
      <c r="F8" s="138" t="s">
        <v>542</v>
      </c>
      <c r="G8" s="131" t="s">
        <v>543</v>
      </c>
      <c r="H8" s="131" t="s">
        <v>539</v>
      </c>
      <c r="I8" s="131">
        <v>742886</v>
      </c>
      <c r="J8" s="131">
        <v>8237847</v>
      </c>
      <c r="K8" s="131" t="s">
        <v>544</v>
      </c>
      <c r="L8" s="129"/>
      <c r="M8" s="132"/>
      <c r="N8" s="133"/>
      <c r="O8" s="133"/>
      <c r="P8" s="132"/>
      <c r="Q8" s="132"/>
      <c r="R8" s="134" t="s">
        <v>61</v>
      </c>
      <c r="S8" s="132" t="s">
        <v>523</v>
      </c>
      <c r="T8" s="132" t="s">
        <v>545</v>
      </c>
      <c r="U8" s="135"/>
      <c r="V8" s="136"/>
      <c r="W8" s="137"/>
      <c r="X8" s="137"/>
      <c r="Y8" s="137"/>
      <c r="Z8" s="137"/>
      <c r="AA8" s="137"/>
      <c r="AB8" s="137"/>
      <c r="AC8" s="137"/>
      <c r="AD8" s="137"/>
      <c r="AE8" s="137"/>
      <c r="AF8" s="137"/>
    </row>
    <row r="9" spans="1:33" ht="15" thickBot="1" x14ac:dyDescent="0.4">
      <c r="A9" s="130">
        <v>7</v>
      </c>
      <c r="B9" s="131" t="s">
        <v>547</v>
      </c>
      <c r="C9" s="131" t="s">
        <v>539</v>
      </c>
      <c r="D9" s="131" t="s">
        <v>540</v>
      </c>
      <c r="E9" s="131" t="s">
        <v>541</v>
      </c>
      <c r="F9" s="138" t="s">
        <v>542</v>
      </c>
      <c r="G9" s="131" t="s">
        <v>543</v>
      </c>
      <c r="H9" s="131" t="s">
        <v>539</v>
      </c>
      <c r="I9" s="131">
        <v>742827</v>
      </c>
      <c r="J9" s="131">
        <v>8237680</v>
      </c>
      <c r="K9" s="131" t="s">
        <v>544</v>
      </c>
      <c r="L9" s="129"/>
      <c r="M9" s="132"/>
      <c r="N9" s="133"/>
      <c r="O9" s="133"/>
      <c r="P9" s="132"/>
      <c r="Q9" s="132"/>
      <c r="R9" s="134" t="s">
        <v>61</v>
      </c>
      <c r="S9" s="132" t="s">
        <v>523</v>
      </c>
      <c r="T9" s="132" t="s">
        <v>545</v>
      </c>
      <c r="U9" s="135"/>
      <c r="V9" s="136"/>
      <c r="W9" s="137"/>
      <c r="X9" s="137"/>
      <c r="Y9" s="137"/>
      <c r="Z9" s="137"/>
      <c r="AA9" s="137"/>
      <c r="AB9" s="137"/>
      <c r="AC9" s="137"/>
      <c r="AD9" s="137"/>
      <c r="AE9" s="137"/>
      <c r="AF9" s="137"/>
    </row>
    <row r="10" spans="1:33" ht="15" thickBot="1" x14ac:dyDescent="0.4">
      <c r="A10" s="130">
        <v>8</v>
      </c>
      <c r="B10" s="131" t="s">
        <v>548</v>
      </c>
      <c r="C10" s="131" t="s">
        <v>549</v>
      </c>
      <c r="D10" s="131" t="s">
        <v>548</v>
      </c>
      <c r="E10" s="131" t="s">
        <v>61</v>
      </c>
      <c r="F10" s="131" t="s">
        <v>61</v>
      </c>
      <c r="G10" s="131" t="s">
        <v>550</v>
      </c>
      <c r="H10" s="131" t="s">
        <v>28</v>
      </c>
      <c r="I10" s="131" t="s">
        <v>61</v>
      </c>
      <c r="J10" s="131" t="s">
        <v>61</v>
      </c>
      <c r="K10" s="131" t="s">
        <v>28</v>
      </c>
      <c r="L10" s="129"/>
      <c r="M10" s="132"/>
      <c r="N10" s="133"/>
      <c r="O10" s="133"/>
      <c r="P10" s="132"/>
      <c r="Q10" s="132"/>
      <c r="R10" s="134">
        <v>2</v>
      </c>
      <c r="S10" s="132" t="s">
        <v>523</v>
      </c>
      <c r="T10" s="132" t="s">
        <v>530</v>
      </c>
      <c r="U10" s="135"/>
      <c r="V10" s="136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t="s">
        <v>551</v>
      </c>
    </row>
    <row r="11" spans="1:33" ht="15" thickBot="1" x14ac:dyDescent="0.4">
      <c r="A11" s="130">
        <v>9</v>
      </c>
      <c r="B11" s="131" t="s">
        <v>552</v>
      </c>
      <c r="C11" s="131" t="s">
        <v>553</v>
      </c>
      <c r="D11" s="131" t="s">
        <v>554</v>
      </c>
      <c r="E11" s="131" t="s">
        <v>61</v>
      </c>
      <c r="F11" s="131" t="s">
        <v>61</v>
      </c>
      <c r="G11" s="131" t="s">
        <v>156</v>
      </c>
      <c r="H11" s="131" t="s">
        <v>555</v>
      </c>
      <c r="I11" s="131" t="s">
        <v>61</v>
      </c>
      <c r="J11" s="131" t="s">
        <v>61</v>
      </c>
      <c r="K11" s="131" t="s">
        <v>28</v>
      </c>
      <c r="L11" s="129"/>
      <c r="M11" s="132"/>
      <c r="N11" s="133"/>
      <c r="O11" s="133"/>
      <c r="P11" s="132"/>
      <c r="Q11" s="132"/>
      <c r="R11" s="134">
        <v>3</v>
      </c>
      <c r="S11" s="132" t="s">
        <v>523</v>
      </c>
      <c r="T11" s="132" t="s">
        <v>524</v>
      </c>
      <c r="U11" s="135"/>
      <c r="V11" s="136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t="s">
        <v>551</v>
      </c>
    </row>
    <row r="12" spans="1:33" ht="15" thickBot="1" x14ac:dyDescent="0.4">
      <c r="A12" s="130">
        <v>10</v>
      </c>
      <c r="B12" s="131" t="s">
        <v>552</v>
      </c>
      <c r="C12" s="131" t="s">
        <v>556</v>
      </c>
      <c r="D12" s="131" t="s">
        <v>554</v>
      </c>
      <c r="E12" s="131" t="s">
        <v>61</v>
      </c>
      <c r="F12" s="131" t="s">
        <v>61</v>
      </c>
      <c r="G12" s="131" t="s">
        <v>156</v>
      </c>
      <c r="H12" s="131" t="s">
        <v>556</v>
      </c>
      <c r="I12" s="131" t="s">
        <v>61</v>
      </c>
      <c r="J12" s="131" t="s">
        <v>61</v>
      </c>
      <c r="K12" s="131" t="s">
        <v>35</v>
      </c>
      <c r="L12" s="129"/>
      <c r="M12" s="132"/>
      <c r="N12" s="133"/>
      <c r="O12" s="133"/>
      <c r="P12" s="132"/>
      <c r="Q12" s="132"/>
      <c r="R12" s="134">
        <v>3</v>
      </c>
      <c r="S12" s="132" t="s">
        <v>523</v>
      </c>
      <c r="T12" s="132" t="s">
        <v>524</v>
      </c>
      <c r="U12" s="135"/>
      <c r="V12" s="136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t="s">
        <v>551</v>
      </c>
    </row>
    <row r="13" spans="1:33" ht="15" thickBot="1" x14ac:dyDescent="0.4">
      <c r="A13" s="130">
        <v>11</v>
      </c>
      <c r="B13" s="131" t="s">
        <v>552</v>
      </c>
      <c r="C13" s="131" t="s">
        <v>557</v>
      </c>
      <c r="D13" s="131" t="s">
        <v>554</v>
      </c>
      <c r="E13" s="131" t="s">
        <v>61</v>
      </c>
      <c r="F13" s="131" t="s">
        <v>61</v>
      </c>
      <c r="G13" s="131" t="s">
        <v>156</v>
      </c>
      <c r="H13" s="131" t="s">
        <v>558</v>
      </c>
      <c r="I13" s="131" t="s">
        <v>61</v>
      </c>
      <c r="J13" s="131" t="s">
        <v>61</v>
      </c>
      <c r="K13" s="131" t="s">
        <v>308</v>
      </c>
      <c r="L13" s="129"/>
      <c r="M13" s="132"/>
      <c r="N13" s="133"/>
      <c r="O13" s="133"/>
      <c r="P13" s="132"/>
      <c r="Q13" s="132"/>
      <c r="R13" s="134">
        <v>3</v>
      </c>
      <c r="S13" s="132" t="s">
        <v>523</v>
      </c>
      <c r="T13" s="132" t="s">
        <v>524</v>
      </c>
      <c r="U13" s="135"/>
      <c r="V13" s="136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</row>
    <row r="14" spans="1:33" ht="15" thickBot="1" x14ac:dyDescent="0.4">
      <c r="A14" s="130">
        <v>12</v>
      </c>
      <c r="B14" s="131" t="s">
        <v>552</v>
      </c>
      <c r="C14" s="131" t="s">
        <v>559</v>
      </c>
      <c r="D14" s="131" t="s">
        <v>554</v>
      </c>
      <c r="E14" s="131" t="s">
        <v>61</v>
      </c>
      <c r="F14" s="131" t="s">
        <v>61</v>
      </c>
      <c r="G14" s="131" t="s">
        <v>156</v>
      </c>
      <c r="H14" s="131" t="s">
        <v>560</v>
      </c>
      <c r="I14" s="131" t="s">
        <v>61</v>
      </c>
      <c r="J14" s="131" t="s">
        <v>61</v>
      </c>
      <c r="K14" s="131" t="s">
        <v>561</v>
      </c>
      <c r="L14" s="129"/>
      <c r="M14" s="132"/>
      <c r="N14" s="133"/>
      <c r="O14" s="133"/>
      <c r="P14" s="132"/>
      <c r="Q14" s="132"/>
      <c r="R14" s="134">
        <v>3</v>
      </c>
      <c r="S14" s="132" t="s">
        <v>523</v>
      </c>
      <c r="T14" s="132" t="s">
        <v>524</v>
      </c>
      <c r="U14" s="135"/>
      <c r="V14" s="136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</row>
    <row r="15" spans="1:33" ht="15" thickBot="1" x14ac:dyDescent="0.4">
      <c r="A15" s="130">
        <v>13</v>
      </c>
      <c r="B15" s="131" t="s">
        <v>552</v>
      </c>
      <c r="C15" s="131" t="s">
        <v>562</v>
      </c>
      <c r="D15" s="131" t="s">
        <v>554</v>
      </c>
      <c r="E15" s="131" t="s">
        <v>61</v>
      </c>
      <c r="F15" s="131" t="s">
        <v>61</v>
      </c>
      <c r="G15" s="131" t="s">
        <v>156</v>
      </c>
      <c r="H15" s="131" t="s">
        <v>562</v>
      </c>
      <c r="I15" s="131" t="s">
        <v>61</v>
      </c>
      <c r="J15" s="131" t="s">
        <v>61</v>
      </c>
      <c r="K15" s="131" t="s">
        <v>561</v>
      </c>
      <c r="L15" s="129"/>
      <c r="M15" s="132"/>
      <c r="N15" s="133"/>
      <c r="O15" s="133"/>
      <c r="P15" s="132"/>
      <c r="Q15" s="132"/>
      <c r="R15" s="134">
        <v>3</v>
      </c>
      <c r="S15" s="132" t="s">
        <v>523</v>
      </c>
      <c r="T15" s="132" t="s">
        <v>524</v>
      </c>
      <c r="U15" s="135"/>
      <c r="V15" s="136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</row>
    <row r="16" spans="1:33" ht="15" thickBot="1" x14ac:dyDescent="0.4">
      <c r="A16" s="130">
        <v>14</v>
      </c>
      <c r="B16" s="131" t="s">
        <v>552</v>
      </c>
      <c r="C16" s="131" t="s">
        <v>563</v>
      </c>
      <c r="D16" s="131" t="s">
        <v>554</v>
      </c>
      <c r="E16" s="131" t="s">
        <v>61</v>
      </c>
      <c r="F16" s="131" t="s">
        <v>61</v>
      </c>
      <c r="G16" s="131" t="s">
        <v>156</v>
      </c>
      <c r="H16" s="131" t="s">
        <v>563</v>
      </c>
      <c r="I16" s="131" t="s">
        <v>61</v>
      </c>
      <c r="J16" s="131" t="s">
        <v>61</v>
      </c>
      <c r="K16" s="131" t="s">
        <v>321</v>
      </c>
      <c r="L16" s="129"/>
      <c r="M16" s="132"/>
      <c r="N16" s="133"/>
      <c r="O16" s="133"/>
      <c r="P16" s="132"/>
      <c r="Q16" s="132"/>
      <c r="R16" s="134">
        <v>3</v>
      </c>
      <c r="S16" s="132" t="s">
        <v>523</v>
      </c>
      <c r="T16" s="132" t="s">
        <v>524</v>
      </c>
      <c r="U16" s="135"/>
      <c r="V16" s="136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</row>
    <row r="17" spans="1:32" ht="15" thickBot="1" x14ac:dyDescent="0.4">
      <c r="A17" s="130">
        <v>15</v>
      </c>
      <c r="B17" s="131" t="s">
        <v>564</v>
      </c>
      <c r="C17" s="131" t="s">
        <v>565</v>
      </c>
      <c r="D17" s="131" t="s">
        <v>566</v>
      </c>
      <c r="E17" s="131">
        <v>999511566</v>
      </c>
      <c r="F17" s="131" t="s">
        <v>61</v>
      </c>
      <c r="G17" s="131" t="s">
        <v>61</v>
      </c>
      <c r="H17" s="131" t="s">
        <v>565</v>
      </c>
      <c r="I17" s="131">
        <v>673551</v>
      </c>
      <c r="J17" s="131">
        <v>8478403</v>
      </c>
      <c r="K17" s="131" t="s">
        <v>434</v>
      </c>
      <c r="L17" s="129"/>
      <c r="M17" s="132"/>
      <c r="N17" s="133"/>
      <c r="O17" s="133"/>
      <c r="P17" s="132"/>
      <c r="Q17" s="132"/>
      <c r="R17" s="134" t="s">
        <v>61</v>
      </c>
      <c r="S17" s="132" t="s">
        <v>523</v>
      </c>
      <c r="T17" s="132" t="s">
        <v>61</v>
      </c>
      <c r="U17" s="135"/>
      <c r="V17" s="136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</row>
    <row r="18" spans="1:32" ht="15" thickBot="1" x14ac:dyDescent="0.4">
      <c r="A18" s="130">
        <v>16</v>
      </c>
      <c r="B18" s="131" t="s">
        <v>567</v>
      </c>
      <c r="C18" s="131" t="s">
        <v>568</v>
      </c>
      <c r="D18" s="131" t="s">
        <v>567</v>
      </c>
      <c r="E18" s="131">
        <v>888202667</v>
      </c>
      <c r="F18" s="131" t="s">
        <v>61</v>
      </c>
      <c r="G18" s="131" t="s">
        <v>569</v>
      </c>
      <c r="H18" s="131" t="s">
        <v>568</v>
      </c>
      <c r="I18" s="131" t="s">
        <v>61</v>
      </c>
      <c r="J18" s="131" t="s">
        <v>61</v>
      </c>
      <c r="K18" s="131" t="s">
        <v>28</v>
      </c>
      <c r="L18" s="129"/>
      <c r="M18" s="132"/>
      <c r="N18" s="133"/>
      <c r="O18" s="133"/>
      <c r="P18" s="132"/>
      <c r="Q18" s="132"/>
      <c r="R18" s="134">
        <v>4</v>
      </c>
      <c r="S18" s="132" t="s">
        <v>523</v>
      </c>
      <c r="T18" s="132" t="s">
        <v>61</v>
      </c>
      <c r="U18" s="135"/>
      <c r="V18" s="136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</row>
    <row r="19" spans="1:32" ht="15" thickBot="1" x14ac:dyDescent="0.4">
      <c r="A19" s="130">
        <v>17</v>
      </c>
      <c r="B19" s="131" t="s">
        <v>570</v>
      </c>
      <c r="C19" s="131" t="s">
        <v>571</v>
      </c>
      <c r="D19" s="131" t="s">
        <v>570</v>
      </c>
      <c r="E19" s="131">
        <v>993334037</v>
      </c>
      <c r="F19" s="131" t="s">
        <v>61</v>
      </c>
      <c r="G19" s="131" t="s">
        <v>61</v>
      </c>
      <c r="H19" s="131" t="s">
        <v>572</v>
      </c>
      <c r="I19" s="131">
        <v>643782</v>
      </c>
      <c r="J19" s="131">
        <v>8556791</v>
      </c>
      <c r="K19" s="131" t="s">
        <v>434</v>
      </c>
      <c r="L19" s="129"/>
      <c r="M19" s="132"/>
      <c r="N19" s="133"/>
      <c r="O19" s="133"/>
      <c r="P19" s="132"/>
      <c r="Q19" s="132"/>
      <c r="R19" s="134">
        <v>0.5</v>
      </c>
      <c r="S19" s="132" t="s">
        <v>523</v>
      </c>
      <c r="T19" s="132" t="s">
        <v>530</v>
      </c>
      <c r="U19" s="135"/>
      <c r="V19" s="136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</row>
    <row r="20" spans="1:32" ht="15" thickBot="1" x14ac:dyDescent="0.4">
      <c r="A20" s="130">
        <v>18</v>
      </c>
      <c r="B20" s="131" t="s">
        <v>573</v>
      </c>
      <c r="C20" s="131" t="s">
        <v>574</v>
      </c>
      <c r="D20" s="131" t="s">
        <v>575</v>
      </c>
      <c r="E20" s="131" t="s">
        <v>576</v>
      </c>
      <c r="F20" s="131" t="s">
        <v>61</v>
      </c>
      <c r="G20" s="131" t="s">
        <v>61</v>
      </c>
      <c r="H20" s="131" t="s">
        <v>574</v>
      </c>
      <c r="I20" s="131">
        <v>672889</v>
      </c>
      <c r="J20" s="131">
        <v>8473434</v>
      </c>
      <c r="K20" s="131" t="s">
        <v>35</v>
      </c>
      <c r="L20" s="129"/>
      <c r="M20" s="132"/>
      <c r="N20" s="133"/>
      <c r="O20" s="133"/>
      <c r="P20" s="132"/>
      <c r="Q20" s="132"/>
      <c r="R20" s="134">
        <v>5</v>
      </c>
      <c r="S20" s="132" t="s">
        <v>523</v>
      </c>
      <c r="T20" s="132" t="s">
        <v>577</v>
      </c>
      <c r="U20" s="135"/>
      <c r="V20" s="136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</row>
    <row r="21" spans="1:32" ht="15" thickBot="1" x14ac:dyDescent="0.4">
      <c r="A21" s="130">
        <v>19</v>
      </c>
      <c r="B21" s="131" t="s">
        <v>578</v>
      </c>
      <c r="C21" s="131" t="s">
        <v>579</v>
      </c>
      <c r="D21" s="131" t="s">
        <v>580</v>
      </c>
      <c r="E21" s="131">
        <v>9993364152</v>
      </c>
      <c r="F21" s="131" t="s">
        <v>61</v>
      </c>
      <c r="G21" s="131" t="s">
        <v>61</v>
      </c>
      <c r="H21" s="131" t="s">
        <v>581</v>
      </c>
      <c r="I21" s="131" t="s">
        <v>61</v>
      </c>
      <c r="J21" s="131" t="s">
        <v>61</v>
      </c>
      <c r="K21" s="131" t="s">
        <v>35</v>
      </c>
      <c r="L21" s="129"/>
      <c r="M21" s="132"/>
      <c r="N21" s="133"/>
      <c r="O21" s="133"/>
      <c r="P21" s="132"/>
      <c r="Q21" s="132"/>
      <c r="R21" s="134" t="s">
        <v>61</v>
      </c>
      <c r="S21" s="132" t="s">
        <v>523</v>
      </c>
      <c r="T21" s="132" t="s">
        <v>61</v>
      </c>
      <c r="U21" s="135"/>
      <c r="V21" s="136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</row>
    <row r="22" spans="1:32" ht="15" thickBot="1" x14ac:dyDescent="0.4">
      <c r="A22" s="130">
        <v>20</v>
      </c>
      <c r="B22" s="131" t="s">
        <v>582</v>
      </c>
      <c r="C22" s="131" t="s">
        <v>583</v>
      </c>
      <c r="D22" s="131" t="s">
        <v>584</v>
      </c>
      <c r="E22" s="131">
        <v>999511254</v>
      </c>
      <c r="F22" s="131" t="s">
        <v>61</v>
      </c>
      <c r="G22" s="131" t="s">
        <v>585</v>
      </c>
      <c r="H22" s="131" t="s">
        <v>586</v>
      </c>
      <c r="I22" s="131">
        <v>675193</v>
      </c>
      <c r="J22" s="131">
        <v>8476302</v>
      </c>
      <c r="K22" s="131" t="s">
        <v>35</v>
      </c>
      <c r="L22" s="129"/>
      <c r="M22" s="132"/>
      <c r="N22" s="133"/>
      <c r="O22" s="133"/>
      <c r="P22" s="132"/>
      <c r="Q22" s="132"/>
      <c r="R22" s="134">
        <v>2.5</v>
      </c>
      <c r="S22" s="132" t="s">
        <v>523</v>
      </c>
      <c r="T22" s="132" t="s">
        <v>524</v>
      </c>
      <c r="U22" s="135"/>
      <c r="V22" s="136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</row>
    <row r="23" spans="1:32" ht="15" thickBot="1" x14ac:dyDescent="0.4">
      <c r="A23" s="130">
        <v>21</v>
      </c>
      <c r="B23" s="131" t="s">
        <v>587</v>
      </c>
      <c r="C23" s="131" t="s">
        <v>588</v>
      </c>
      <c r="D23" s="131" t="s">
        <v>61</v>
      </c>
      <c r="E23" s="131" t="s">
        <v>61</v>
      </c>
      <c r="F23" s="131" t="s">
        <v>61</v>
      </c>
      <c r="G23" s="131" t="s">
        <v>589</v>
      </c>
      <c r="H23" s="131" t="s">
        <v>590</v>
      </c>
      <c r="I23" s="131">
        <v>730216.84</v>
      </c>
      <c r="J23" s="131">
        <v>8171979</v>
      </c>
      <c r="K23" s="131" t="s">
        <v>591</v>
      </c>
      <c r="L23" s="129"/>
      <c r="M23" s="132"/>
      <c r="N23" s="133"/>
      <c r="O23" s="133"/>
      <c r="P23" s="132"/>
      <c r="Q23" s="132"/>
      <c r="R23" s="134">
        <v>21</v>
      </c>
      <c r="S23" s="132" t="s">
        <v>523</v>
      </c>
      <c r="T23" s="132" t="s">
        <v>524</v>
      </c>
      <c r="U23" s="135"/>
      <c r="V23" s="136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</row>
    <row r="24" spans="1:32" ht="15" thickBot="1" x14ac:dyDescent="0.4">
      <c r="A24" s="130">
        <v>22</v>
      </c>
      <c r="B24" s="131" t="s">
        <v>587</v>
      </c>
      <c r="C24" s="131" t="s">
        <v>592</v>
      </c>
      <c r="D24" s="131" t="s">
        <v>61</v>
      </c>
      <c r="E24" s="131" t="s">
        <v>61</v>
      </c>
      <c r="F24" s="131" t="s">
        <v>61</v>
      </c>
      <c r="G24" s="131" t="s">
        <v>589</v>
      </c>
      <c r="H24" s="131" t="s">
        <v>593</v>
      </c>
      <c r="I24" s="131">
        <v>731823.21</v>
      </c>
      <c r="J24" s="131">
        <v>8172404.54</v>
      </c>
      <c r="K24" s="131" t="s">
        <v>591</v>
      </c>
      <c r="L24" s="129"/>
      <c r="M24" s="132"/>
      <c r="N24" s="133"/>
      <c r="O24" s="133"/>
      <c r="P24" s="132"/>
      <c r="Q24" s="132"/>
      <c r="R24" s="134">
        <v>21</v>
      </c>
      <c r="S24" s="132" t="s">
        <v>523</v>
      </c>
      <c r="T24" s="132" t="s">
        <v>524</v>
      </c>
      <c r="U24" s="135"/>
      <c r="V24" s="136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</row>
    <row r="25" spans="1:32" ht="15" thickBot="1" x14ac:dyDescent="0.4">
      <c r="A25" s="130">
        <v>23</v>
      </c>
      <c r="B25" s="131" t="s">
        <v>594</v>
      </c>
      <c r="C25" s="131" t="s">
        <v>595</v>
      </c>
      <c r="D25" s="131" t="s">
        <v>61</v>
      </c>
      <c r="E25" s="131" t="s">
        <v>596</v>
      </c>
      <c r="F25" s="138" t="s">
        <v>597</v>
      </c>
      <c r="G25" s="131" t="s">
        <v>598</v>
      </c>
      <c r="H25" s="131" t="s">
        <v>599</v>
      </c>
      <c r="I25" s="131">
        <v>611498</v>
      </c>
      <c r="J25" s="131">
        <v>8732133</v>
      </c>
      <c r="K25" s="131" t="s">
        <v>148</v>
      </c>
      <c r="L25" s="129"/>
      <c r="M25" s="132"/>
      <c r="N25" s="133"/>
      <c r="O25" s="133"/>
      <c r="P25" s="132"/>
      <c r="Q25" s="132"/>
      <c r="R25" s="134">
        <v>5</v>
      </c>
      <c r="S25" s="132" t="s">
        <v>523</v>
      </c>
      <c r="T25" s="132" t="s">
        <v>530</v>
      </c>
      <c r="U25" s="135"/>
      <c r="V25" s="136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</row>
    <row r="26" spans="1:32" ht="15" thickBot="1" x14ac:dyDescent="0.4">
      <c r="A26" s="130">
        <v>24</v>
      </c>
      <c r="B26" s="131" t="s">
        <v>600</v>
      </c>
      <c r="C26" s="131" t="s">
        <v>601</v>
      </c>
      <c r="D26" s="131" t="s">
        <v>61</v>
      </c>
      <c r="E26" s="131" t="s">
        <v>602</v>
      </c>
      <c r="F26" s="138" t="s">
        <v>603</v>
      </c>
      <c r="G26" s="131" t="s">
        <v>604</v>
      </c>
      <c r="H26" s="131" t="s">
        <v>605</v>
      </c>
      <c r="I26" s="131">
        <v>613125</v>
      </c>
      <c r="J26" s="131">
        <v>8735387</v>
      </c>
      <c r="K26" s="131" t="s">
        <v>148</v>
      </c>
      <c r="L26" s="129"/>
      <c r="M26" s="132"/>
      <c r="N26" s="133"/>
      <c r="O26" s="133"/>
      <c r="P26" s="132"/>
      <c r="Q26" s="132"/>
      <c r="R26" s="134">
        <v>10</v>
      </c>
      <c r="S26" s="132" t="s">
        <v>523</v>
      </c>
      <c r="T26" s="132" t="s">
        <v>530</v>
      </c>
      <c r="U26" s="135"/>
      <c r="V26" s="136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</row>
    <row r="27" spans="1:32" ht="15" thickBot="1" x14ac:dyDescent="0.4">
      <c r="A27" s="130">
        <v>25</v>
      </c>
      <c r="B27" s="131" t="s">
        <v>606</v>
      </c>
      <c r="C27" s="131" t="s">
        <v>607</v>
      </c>
      <c r="D27" s="131" t="s">
        <v>61</v>
      </c>
      <c r="E27" s="131" t="s">
        <v>608</v>
      </c>
      <c r="F27" s="138" t="s">
        <v>609</v>
      </c>
      <c r="G27" s="131" t="s">
        <v>610</v>
      </c>
      <c r="H27" s="131" t="s">
        <v>611</v>
      </c>
      <c r="I27" s="131">
        <v>608871</v>
      </c>
      <c r="J27" s="131">
        <v>8732458</v>
      </c>
      <c r="K27" s="131" t="s">
        <v>148</v>
      </c>
      <c r="L27" s="129"/>
      <c r="M27" s="132"/>
      <c r="N27" s="133"/>
      <c r="O27" s="133"/>
      <c r="P27" s="132"/>
      <c r="Q27" s="132"/>
      <c r="R27" s="134">
        <v>10</v>
      </c>
      <c r="S27" s="132" t="s">
        <v>523</v>
      </c>
      <c r="T27" s="132" t="s">
        <v>530</v>
      </c>
      <c r="U27" s="135"/>
      <c r="V27" s="136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</row>
    <row r="28" spans="1:32" ht="15" thickBot="1" x14ac:dyDescent="0.4">
      <c r="A28" s="130">
        <v>26</v>
      </c>
      <c r="B28" s="131" t="s">
        <v>612</v>
      </c>
      <c r="C28" s="131" t="s">
        <v>613</v>
      </c>
      <c r="D28" s="131" t="s">
        <v>61</v>
      </c>
      <c r="E28" s="131" t="s">
        <v>614</v>
      </c>
      <c r="F28" s="131" t="s">
        <v>61</v>
      </c>
      <c r="G28" s="131" t="s">
        <v>615</v>
      </c>
      <c r="H28" s="131" t="s">
        <v>613</v>
      </c>
      <c r="I28" s="131">
        <v>586891</v>
      </c>
      <c r="J28" s="131">
        <v>1539817</v>
      </c>
      <c r="K28" s="131" t="s">
        <v>28</v>
      </c>
      <c r="L28" s="129"/>
      <c r="M28" s="132"/>
      <c r="N28" s="133"/>
      <c r="O28" s="133"/>
      <c r="P28" s="132"/>
      <c r="Q28" s="132"/>
      <c r="R28" s="134">
        <v>3</v>
      </c>
      <c r="S28" s="132" t="s">
        <v>523</v>
      </c>
      <c r="T28" s="132" t="s">
        <v>616</v>
      </c>
      <c r="U28" s="135"/>
      <c r="V28" s="136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</row>
    <row r="29" spans="1:32" ht="15" thickBot="1" x14ac:dyDescent="0.4">
      <c r="A29" s="130">
        <v>27</v>
      </c>
      <c r="B29" s="131" t="s">
        <v>617</v>
      </c>
      <c r="C29" s="131" t="s">
        <v>618</v>
      </c>
      <c r="D29" s="131" t="s">
        <v>61</v>
      </c>
      <c r="E29" s="131" t="s">
        <v>619</v>
      </c>
      <c r="F29" s="138" t="s">
        <v>620</v>
      </c>
      <c r="G29" s="131" t="s">
        <v>621</v>
      </c>
      <c r="H29" s="131" t="s">
        <v>618</v>
      </c>
      <c r="I29" s="131" t="s">
        <v>61</v>
      </c>
      <c r="J29" s="131" t="s">
        <v>61</v>
      </c>
      <c r="K29" s="131" t="s">
        <v>148</v>
      </c>
      <c r="L29" s="129"/>
      <c r="M29" s="132"/>
      <c r="N29" s="133"/>
      <c r="O29" s="133"/>
      <c r="P29" s="132"/>
      <c r="Q29" s="132"/>
      <c r="R29" s="134">
        <v>10</v>
      </c>
      <c r="S29" s="132" t="s">
        <v>523</v>
      </c>
      <c r="T29" s="132" t="s">
        <v>622</v>
      </c>
      <c r="U29" s="135"/>
      <c r="V29" s="136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</row>
    <row r="30" spans="1:32" ht="15" thickBot="1" x14ac:dyDescent="0.4">
      <c r="A30" s="130">
        <v>28</v>
      </c>
      <c r="B30" s="131" t="s">
        <v>623</v>
      </c>
      <c r="C30" s="131" t="s">
        <v>624</v>
      </c>
      <c r="D30" s="131" t="s">
        <v>625</v>
      </c>
      <c r="E30" s="131" t="s">
        <v>626</v>
      </c>
      <c r="F30" s="138" t="s">
        <v>627</v>
      </c>
      <c r="G30" s="131" t="s">
        <v>628</v>
      </c>
      <c r="H30" s="131" t="s">
        <v>624</v>
      </c>
      <c r="I30" s="131">
        <v>672072</v>
      </c>
      <c r="J30" s="131">
        <v>8472329</v>
      </c>
      <c r="K30" s="131" t="s">
        <v>35</v>
      </c>
      <c r="L30" s="129"/>
      <c r="M30" s="132"/>
      <c r="N30" s="133"/>
      <c r="O30" s="133"/>
      <c r="P30" s="132"/>
      <c r="Q30" s="132"/>
      <c r="R30" s="134">
        <v>1</v>
      </c>
      <c r="S30" s="132" t="s">
        <v>523</v>
      </c>
      <c r="T30" s="132" t="s">
        <v>530</v>
      </c>
      <c r="U30" s="135"/>
      <c r="V30" s="136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</row>
    <row r="31" spans="1:32" ht="15" thickBot="1" x14ac:dyDescent="0.4">
      <c r="A31" s="130">
        <v>29</v>
      </c>
      <c r="B31" s="131" t="s">
        <v>629</v>
      </c>
      <c r="C31" s="139" t="s">
        <v>630</v>
      </c>
      <c r="D31" s="131" t="s">
        <v>631</v>
      </c>
      <c r="E31" s="131" t="s">
        <v>632</v>
      </c>
      <c r="F31" s="131"/>
      <c r="G31" s="131" t="s">
        <v>633</v>
      </c>
      <c r="H31" s="131" t="s">
        <v>624</v>
      </c>
      <c r="I31" s="131">
        <v>674284</v>
      </c>
      <c r="J31" s="131">
        <v>8480329</v>
      </c>
      <c r="K31" s="131" t="s">
        <v>35</v>
      </c>
      <c r="L31" s="129"/>
      <c r="M31" s="132"/>
      <c r="N31" s="133"/>
      <c r="O31" s="133"/>
      <c r="P31" s="132"/>
      <c r="Q31" s="132"/>
      <c r="R31" s="134">
        <v>5</v>
      </c>
      <c r="S31" s="132" t="s">
        <v>523</v>
      </c>
      <c r="T31" s="132" t="s">
        <v>577</v>
      </c>
      <c r="U31" s="135"/>
      <c r="V31" s="136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</row>
    <row r="32" spans="1:32" ht="15" thickBot="1" x14ac:dyDescent="0.4">
      <c r="A32" s="130">
        <v>30</v>
      </c>
      <c r="B32" s="131" t="s">
        <v>634</v>
      </c>
      <c r="C32" s="131" t="s">
        <v>624</v>
      </c>
      <c r="D32" s="131" t="s">
        <v>635</v>
      </c>
      <c r="E32">
        <v>999416750</v>
      </c>
      <c r="F32" s="131" t="s">
        <v>61</v>
      </c>
      <c r="G32" s="131" t="s">
        <v>636</v>
      </c>
      <c r="H32" s="131" t="s">
        <v>624</v>
      </c>
      <c r="I32" s="131">
        <v>673551</v>
      </c>
      <c r="J32" s="131">
        <v>8478403</v>
      </c>
      <c r="K32" s="131" t="s">
        <v>35</v>
      </c>
      <c r="L32" s="129"/>
      <c r="M32" s="132"/>
      <c r="N32" s="133"/>
      <c r="O32" s="133"/>
      <c r="P32" s="132"/>
      <c r="Q32" s="132"/>
      <c r="R32" s="134">
        <v>10</v>
      </c>
      <c r="S32" s="132" t="s">
        <v>523</v>
      </c>
      <c r="T32" s="132" t="s">
        <v>577</v>
      </c>
      <c r="U32" s="135"/>
      <c r="V32" s="136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</row>
    <row r="33" spans="1:32" ht="15" thickBot="1" x14ac:dyDescent="0.4">
      <c r="A33" s="130">
        <v>31</v>
      </c>
      <c r="B33" s="131" t="s">
        <v>637</v>
      </c>
      <c r="C33" s="131" t="s">
        <v>638</v>
      </c>
      <c r="D33" s="131" t="s">
        <v>639</v>
      </c>
      <c r="E33" s="131">
        <v>1773388</v>
      </c>
      <c r="F33" s="138" t="s">
        <v>640</v>
      </c>
      <c r="G33" s="131" t="s">
        <v>641</v>
      </c>
      <c r="H33" s="131" t="s">
        <v>638</v>
      </c>
      <c r="I33" s="131">
        <v>585927</v>
      </c>
      <c r="J33" s="131">
        <v>8456899</v>
      </c>
      <c r="K33" s="131" t="s">
        <v>28</v>
      </c>
      <c r="L33" s="129"/>
      <c r="M33" s="132"/>
      <c r="N33" s="133"/>
      <c r="O33" s="133"/>
      <c r="P33" s="132"/>
      <c r="Q33" s="132"/>
      <c r="R33" s="134">
        <v>25</v>
      </c>
      <c r="S33" s="132" t="s">
        <v>523</v>
      </c>
      <c r="T33" s="132" t="s">
        <v>530</v>
      </c>
      <c r="U33" s="135"/>
      <c r="V33" s="136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</row>
    <row r="34" spans="1:32" ht="15" thickBot="1" x14ac:dyDescent="0.4">
      <c r="A34" s="130">
        <v>32</v>
      </c>
      <c r="B34" s="131" t="s">
        <v>642</v>
      </c>
      <c r="C34" s="131" t="s">
        <v>643</v>
      </c>
      <c r="D34" s="131" t="s">
        <v>644</v>
      </c>
      <c r="E34" s="131" t="s">
        <v>645</v>
      </c>
      <c r="F34" s="131" t="s">
        <v>61</v>
      </c>
      <c r="G34" s="131" t="s">
        <v>646</v>
      </c>
      <c r="H34" s="131" t="s">
        <v>643</v>
      </c>
      <c r="I34" s="131">
        <v>675091</v>
      </c>
      <c r="J34" s="131">
        <v>8481515</v>
      </c>
      <c r="K34" s="131" t="s">
        <v>35</v>
      </c>
      <c r="L34" s="129"/>
      <c r="M34" s="132"/>
      <c r="N34" s="133"/>
      <c r="O34" s="133"/>
      <c r="P34" s="132"/>
      <c r="Q34" s="132"/>
      <c r="R34" s="134">
        <v>6</v>
      </c>
      <c r="S34" s="132" t="s">
        <v>523</v>
      </c>
      <c r="T34" s="132" t="s">
        <v>530</v>
      </c>
      <c r="U34" s="135"/>
      <c r="V34" s="136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</row>
    <row r="35" spans="1:32" ht="15" thickBot="1" x14ac:dyDescent="0.4">
      <c r="A35" s="130">
        <v>33</v>
      </c>
      <c r="B35" s="131" t="s">
        <v>647</v>
      </c>
      <c r="C35" s="131" t="s">
        <v>648</v>
      </c>
      <c r="D35" s="131" t="s">
        <v>649</v>
      </c>
      <c r="E35" s="131" t="s">
        <v>650</v>
      </c>
      <c r="F35" s="131" t="s">
        <v>61</v>
      </c>
      <c r="G35" s="131" t="s">
        <v>651</v>
      </c>
      <c r="H35" s="131" t="s">
        <v>35</v>
      </c>
      <c r="I35" s="131">
        <v>673609</v>
      </c>
      <c r="J35" s="131">
        <v>8478999</v>
      </c>
      <c r="K35" s="131" t="s">
        <v>35</v>
      </c>
      <c r="L35" s="129"/>
      <c r="M35" s="132"/>
      <c r="N35" s="133"/>
      <c r="O35" s="133"/>
      <c r="P35" s="132"/>
      <c r="Q35" s="132"/>
      <c r="R35" s="134">
        <v>4</v>
      </c>
      <c r="S35" s="132" t="s">
        <v>523</v>
      </c>
      <c r="T35" s="132" t="s">
        <v>530</v>
      </c>
      <c r="U35" s="135"/>
      <c r="V35" s="136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</row>
    <row r="36" spans="1:32" ht="15" thickBot="1" x14ac:dyDescent="0.4">
      <c r="A36" s="130">
        <v>34</v>
      </c>
      <c r="B36" s="131" t="s">
        <v>652</v>
      </c>
      <c r="C36" s="131" t="s">
        <v>653</v>
      </c>
      <c r="D36" s="131" t="s">
        <v>654</v>
      </c>
      <c r="E36" s="131" t="s">
        <v>655</v>
      </c>
      <c r="F36" s="131" t="s">
        <v>61</v>
      </c>
      <c r="G36" s="131" t="s">
        <v>656</v>
      </c>
      <c r="H36" s="131" t="s">
        <v>653</v>
      </c>
      <c r="I36" s="131">
        <v>672610</v>
      </c>
      <c r="J36" s="131">
        <v>8472947</v>
      </c>
      <c r="K36" s="131" t="s">
        <v>35</v>
      </c>
      <c r="L36" s="129"/>
      <c r="M36" s="132"/>
      <c r="N36" s="133"/>
      <c r="O36" s="133"/>
      <c r="P36" s="132"/>
      <c r="Q36" s="132"/>
      <c r="R36" s="134">
        <v>5</v>
      </c>
      <c r="S36" s="132" t="s">
        <v>657</v>
      </c>
      <c r="T36" s="132" t="s">
        <v>530</v>
      </c>
      <c r="U36" s="135"/>
      <c r="V36" s="136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</row>
    <row r="37" spans="1:32" ht="15" thickBot="1" x14ac:dyDescent="0.4">
      <c r="A37" s="130">
        <v>35</v>
      </c>
      <c r="B37" s="131" t="s">
        <v>658</v>
      </c>
      <c r="C37" s="131" t="s">
        <v>659</v>
      </c>
      <c r="D37" s="131" t="s">
        <v>660</v>
      </c>
      <c r="E37" s="131">
        <v>1714200</v>
      </c>
      <c r="F37" s="138" t="s">
        <v>661</v>
      </c>
      <c r="G37" s="131" t="s">
        <v>662</v>
      </c>
      <c r="H37" s="131" t="s">
        <v>659</v>
      </c>
      <c r="I37" s="131">
        <v>581562.35</v>
      </c>
      <c r="J37" s="131">
        <v>8451441.0999999996</v>
      </c>
      <c r="K37" s="131" t="s">
        <v>28</v>
      </c>
      <c r="L37" s="129"/>
      <c r="M37" s="132"/>
      <c r="N37" s="133"/>
      <c r="O37" s="133"/>
      <c r="P37" s="132"/>
      <c r="Q37" s="132"/>
      <c r="R37" s="134">
        <v>55000</v>
      </c>
      <c r="S37" s="132" t="s">
        <v>663</v>
      </c>
      <c r="T37" s="132" t="s">
        <v>664</v>
      </c>
      <c r="U37" s="135"/>
      <c r="V37" s="136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</row>
    <row r="38" spans="1:32" ht="15" thickBot="1" x14ac:dyDescent="0.4">
      <c r="A38" s="130">
        <v>36</v>
      </c>
      <c r="B38" s="131" t="s">
        <v>665</v>
      </c>
      <c r="C38" s="131" t="s">
        <v>638</v>
      </c>
      <c r="D38" s="131" t="s">
        <v>666</v>
      </c>
      <c r="E38" s="131">
        <v>888343837</v>
      </c>
      <c r="F38" s="138" t="s">
        <v>667</v>
      </c>
      <c r="G38" s="131" t="s">
        <v>668</v>
      </c>
      <c r="H38" s="131" t="s">
        <v>669</v>
      </c>
      <c r="I38" s="131" t="s">
        <v>61</v>
      </c>
      <c r="J38" s="131" t="s">
        <v>61</v>
      </c>
      <c r="K38" s="131" t="s">
        <v>28</v>
      </c>
      <c r="L38" s="129"/>
      <c r="M38" s="132"/>
      <c r="N38" s="133"/>
      <c r="O38" s="133"/>
      <c r="P38" s="132"/>
      <c r="Q38" s="132"/>
      <c r="R38" s="134">
        <v>5</v>
      </c>
      <c r="S38" s="132" t="s">
        <v>523</v>
      </c>
      <c r="T38" s="132" t="s">
        <v>524</v>
      </c>
      <c r="U38" s="135"/>
      <c r="V38" s="136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</row>
    <row r="39" spans="1:32" ht="15" thickBot="1" x14ac:dyDescent="0.4">
      <c r="A39" s="130">
        <v>37</v>
      </c>
      <c r="B39" s="131" t="s">
        <v>665</v>
      </c>
      <c r="C39" s="131" t="s">
        <v>638</v>
      </c>
      <c r="D39" s="131" t="s">
        <v>666</v>
      </c>
      <c r="E39" s="131">
        <v>888343837</v>
      </c>
      <c r="F39" s="138" t="s">
        <v>667</v>
      </c>
      <c r="G39" s="131" t="s">
        <v>668</v>
      </c>
      <c r="H39" s="131" t="s">
        <v>669</v>
      </c>
      <c r="I39" s="131" t="s">
        <v>61</v>
      </c>
      <c r="J39" s="131" t="s">
        <v>61</v>
      </c>
      <c r="K39" s="131" t="s">
        <v>28</v>
      </c>
      <c r="L39" s="129"/>
      <c r="M39" s="132"/>
      <c r="N39" s="133"/>
      <c r="O39" s="133"/>
      <c r="P39" s="132"/>
      <c r="Q39" s="132"/>
      <c r="R39" s="134">
        <v>5</v>
      </c>
      <c r="S39" s="132" t="s">
        <v>523</v>
      </c>
      <c r="T39" s="132" t="s">
        <v>524</v>
      </c>
      <c r="U39" s="135"/>
      <c r="V39" s="136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</row>
    <row r="40" spans="1:32" ht="15" thickBot="1" x14ac:dyDescent="0.4">
      <c r="A40" s="130">
        <v>38</v>
      </c>
      <c r="B40" s="131" t="s">
        <v>665</v>
      </c>
      <c r="C40" s="131" t="s">
        <v>638</v>
      </c>
      <c r="D40" s="131" t="s">
        <v>666</v>
      </c>
      <c r="E40" s="131">
        <v>888343837</v>
      </c>
      <c r="F40" s="138" t="s">
        <v>667</v>
      </c>
      <c r="G40" s="131" t="s">
        <v>668</v>
      </c>
      <c r="H40" s="131" t="s">
        <v>669</v>
      </c>
      <c r="I40" s="131" t="s">
        <v>61</v>
      </c>
      <c r="J40" s="131" t="s">
        <v>61</v>
      </c>
      <c r="K40" s="131" t="s">
        <v>28</v>
      </c>
      <c r="L40" s="129"/>
      <c r="M40" s="132"/>
      <c r="N40" s="133"/>
      <c r="O40" s="133"/>
      <c r="P40" s="132"/>
      <c r="Q40" s="132"/>
      <c r="R40" s="134">
        <v>5</v>
      </c>
      <c r="S40" s="132" t="s">
        <v>523</v>
      </c>
      <c r="T40" s="132" t="s">
        <v>524</v>
      </c>
      <c r="U40" s="135"/>
      <c r="V40" s="136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</row>
    <row r="41" spans="1:32" ht="15" thickBot="1" x14ac:dyDescent="0.4">
      <c r="A41" s="130">
        <v>39</v>
      </c>
      <c r="B41" s="131" t="s">
        <v>665</v>
      </c>
      <c r="C41" s="131" t="s">
        <v>638</v>
      </c>
      <c r="D41" s="131" t="s">
        <v>666</v>
      </c>
      <c r="E41" s="131">
        <v>888343837</v>
      </c>
      <c r="F41" s="138" t="s">
        <v>667</v>
      </c>
      <c r="G41" s="131" t="s">
        <v>668</v>
      </c>
      <c r="H41" s="131" t="s">
        <v>669</v>
      </c>
      <c r="I41" s="131" t="s">
        <v>61</v>
      </c>
      <c r="J41" s="131" t="s">
        <v>61</v>
      </c>
      <c r="K41" s="131" t="s">
        <v>28</v>
      </c>
      <c r="L41" s="129"/>
      <c r="M41" s="132"/>
      <c r="N41" s="133"/>
      <c r="O41" s="133"/>
      <c r="P41" s="132"/>
      <c r="Q41" s="132"/>
      <c r="R41" s="134">
        <v>5</v>
      </c>
      <c r="S41" s="132" t="s">
        <v>523</v>
      </c>
      <c r="T41" s="132" t="s">
        <v>524</v>
      </c>
      <c r="U41" s="135"/>
      <c r="V41" s="136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</row>
    <row r="42" spans="1:32" ht="15" thickBot="1" x14ac:dyDescent="0.4">
      <c r="A42" s="130">
        <v>40</v>
      </c>
      <c r="B42" s="131" t="s">
        <v>665</v>
      </c>
      <c r="C42" s="131" t="s">
        <v>638</v>
      </c>
      <c r="D42" s="131" t="s">
        <v>666</v>
      </c>
      <c r="E42" s="131">
        <v>888343837</v>
      </c>
      <c r="F42" s="138" t="s">
        <v>667</v>
      </c>
      <c r="G42" s="131" t="s">
        <v>668</v>
      </c>
      <c r="H42" s="131" t="s">
        <v>669</v>
      </c>
      <c r="I42" s="131" t="s">
        <v>61</v>
      </c>
      <c r="J42" s="131" t="s">
        <v>61</v>
      </c>
      <c r="K42" s="131" t="s">
        <v>28</v>
      </c>
      <c r="L42" s="129"/>
      <c r="M42" s="132"/>
      <c r="N42" s="133"/>
      <c r="O42" s="133"/>
      <c r="P42" s="132"/>
      <c r="Q42" s="132"/>
      <c r="R42" s="134">
        <v>5</v>
      </c>
      <c r="S42" s="132" t="s">
        <v>523</v>
      </c>
      <c r="T42" s="132" t="s">
        <v>524</v>
      </c>
      <c r="U42" s="135"/>
      <c r="V42" s="136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</row>
    <row r="43" spans="1:32" ht="15" thickBot="1" x14ac:dyDescent="0.4">
      <c r="A43" s="130">
        <v>41</v>
      </c>
      <c r="B43" s="131" t="s">
        <v>665</v>
      </c>
      <c r="C43" s="131" t="s">
        <v>638</v>
      </c>
      <c r="D43" s="131" t="s">
        <v>666</v>
      </c>
      <c r="E43" s="131">
        <v>888343837</v>
      </c>
      <c r="F43" s="138" t="s">
        <v>667</v>
      </c>
      <c r="G43" s="131" t="s">
        <v>668</v>
      </c>
      <c r="H43" s="131" t="s">
        <v>669</v>
      </c>
      <c r="I43" s="131" t="s">
        <v>61</v>
      </c>
      <c r="J43" s="131" t="s">
        <v>61</v>
      </c>
      <c r="K43" s="131" t="s">
        <v>28</v>
      </c>
      <c r="L43" s="129"/>
      <c r="M43" s="132"/>
      <c r="N43" s="133"/>
      <c r="O43" s="133"/>
      <c r="P43" s="132"/>
      <c r="Q43" s="132"/>
      <c r="R43" s="134">
        <v>5</v>
      </c>
      <c r="S43" s="132" t="s">
        <v>523</v>
      </c>
      <c r="T43" s="132" t="s">
        <v>524</v>
      </c>
      <c r="U43" s="135"/>
      <c r="V43" s="136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</row>
    <row r="44" spans="1:32" ht="15" thickBot="1" x14ac:dyDescent="0.4">
      <c r="A44" s="130">
        <v>42</v>
      </c>
      <c r="B44" s="131" t="s">
        <v>665</v>
      </c>
      <c r="C44" s="131" t="s">
        <v>638</v>
      </c>
      <c r="D44" s="131" t="s">
        <v>666</v>
      </c>
      <c r="E44" s="131">
        <v>888343837</v>
      </c>
      <c r="F44" s="138" t="s">
        <v>667</v>
      </c>
      <c r="G44" s="131" t="s">
        <v>668</v>
      </c>
      <c r="H44" s="131" t="s">
        <v>669</v>
      </c>
      <c r="I44" s="131" t="s">
        <v>61</v>
      </c>
      <c r="J44" s="131" t="s">
        <v>61</v>
      </c>
      <c r="K44" s="131" t="s">
        <v>28</v>
      </c>
      <c r="L44" s="129"/>
      <c r="M44" s="132"/>
      <c r="N44" s="133"/>
      <c r="O44" s="133"/>
      <c r="P44" s="132"/>
      <c r="Q44" s="132"/>
      <c r="R44" s="134">
        <v>5</v>
      </c>
      <c r="S44" s="132" t="s">
        <v>523</v>
      </c>
      <c r="T44" s="132" t="s">
        <v>524</v>
      </c>
      <c r="U44" s="135"/>
      <c r="V44" s="136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</row>
    <row r="45" spans="1:32" ht="15" thickBot="1" x14ac:dyDescent="0.4">
      <c r="A45" s="130">
        <v>43</v>
      </c>
      <c r="B45" s="131" t="s">
        <v>665</v>
      </c>
      <c r="C45" s="131" t="s">
        <v>638</v>
      </c>
      <c r="D45" s="131" t="s">
        <v>666</v>
      </c>
      <c r="E45" s="131">
        <v>888343837</v>
      </c>
      <c r="F45" s="138" t="s">
        <v>667</v>
      </c>
      <c r="G45" s="131" t="s">
        <v>668</v>
      </c>
      <c r="H45" s="131" t="s">
        <v>669</v>
      </c>
      <c r="I45" s="131" t="s">
        <v>61</v>
      </c>
      <c r="J45" s="131" t="s">
        <v>61</v>
      </c>
      <c r="K45" s="131" t="s">
        <v>28</v>
      </c>
      <c r="L45" s="129"/>
      <c r="M45" s="132"/>
      <c r="N45" s="133"/>
      <c r="O45" s="133"/>
      <c r="P45" s="132"/>
      <c r="Q45" s="132"/>
      <c r="R45" s="134">
        <v>5</v>
      </c>
      <c r="S45" s="132" t="s">
        <v>523</v>
      </c>
      <c r="T45" s="132" t="s">
        <v>524</v>
      </c>
      <c r="U45" s="135"/>
      <c r="V45" s="136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</row>
    <row r="46" spans="1:32" ht="15" thickBot="1" x14ac:dyDescent="0.4">
      <c r="A46" s="130">
        <v>44</v>
      </c>
      <c r="B46" s="131" t="s">
        <v>665</v>
      </c>
      <c r="C46" s="131" t="s">
        <v>638</v>
      </c>
      <c r="D46" s="131" t="s">
        <v>666</v>
      </c>
      <c r="E46" s="131">
        <v>888343837</v>
      </c>
      <c r="F46" s="138" t="s">
        <v>667</v>
      </c>
      <c r="G46" s="131" t="s">
        <v>668</v>
      </c>
      <c r="H46" s="131" t="s">
        <v>669</v>
      </c>
      <c r="I46" s="131" t="s">
        <v>61</v>
      </c>
      <c r="J46" s="131" t="s">
        <v>61</v>
      </c>
      <c r="K46" s="131" t="s">
        <v>28</v>
      </c>
      <c r="L46" s="129"/>
      <c r="M46" s="132"/>
      <c r="N46" s="133"/>
      <c r="O46" s="133"/>
      <c r="P46" s="132"/>
      <c r="Q46" s="132"/>
      <c r="R46" s="134">
        <v>5</v>
      </c>
      <c r="S46" s="132" t="s">
        <v>523</v>
      </c>
      <c r="T46" s="132" t="s">
        <v>524</v>
      </c>
      <c r="U46" s="135"/>
      <c r="V46" s="136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</row>
    <row r="47" spans="1:32" ht="15" thickBot="1" x14ac:dyDescent="0.4">
      <c r="A47" s="130">
        <v>45</v>
      </c>
      <c r="B47" s="131" t="s">
        <v>665</v>
      </c>
      <c r="C47" s="131" t="s">
        <v>638</v>
      </c>
      <c r="D47" s="131" t="s">
        <v>666</v>
      </c>
      <c r="E47" s="131">
        <v>888343837</v>
      </c>
      <c r="F47" s="138" t="s">
        <v>667</v>
      </c>
      <c r="G47" s="131" t="s">
        <v>668</v>
      </c>
      <c r="H47" s="131" t="s">
        <v>669</v>
      </c>
      <c r="I47" s="131" t="s">
        <v>61</v>
      </c>
      <c r="J47" s="131" t="s">
        <v>61</v>
      </c>
      <c r="K47" s="131" t="s">
        <v>28</v>
      </c>
      <c r="L47" s="129"/>
      <c r="M47" s="132"/>
      <c r="N47" s="133"/>
      <c r="O47" s="133"/>
      <c r="P47" s="132"/>
      <c r="Q47" s="132"/>
      <c r="R47" s="134">
        <v>5</v>
      </c>
      <c r="S47" s="132" t="s">
        <v>523</v>
      </c>
      <c r="T47" s="132" t="s">
        <v>524</v>
      </c>
      <c r="U47" s="135"/>
      <c r="V47" s="136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</row>
    <row r="48" spans="1:32" ht="15" thickBot="1" x14ac:dyDescent="0.4">
      <c r="A48" s="130">
        <v>46</v>
      </c>
      <c r="B48" s="131" t="s">
        <v>665</v>
      </c>
      <c r="C48" s="131" t="s">
        <v>638</v>
      </c>
      <c r="D48" s="131" t="s">
        <v>666</v>
      </c>
      <c r="E48" s="131">
        <v>888343837</v>
      </c>
      <c r="F48" s="138" t="s">
        <v>667</v>
      </c>
      <c r="G48" s="131" t="s">
        <v>668</v>
      </c>
      <c r="H48" s="131" t="s">
        <v>670</v>
      </c>
      <c r="I48" s="131" t="s">
        <v>61</v>
      </c>
      <c r="J48" s="131" t="s">
        <v>61</v>
      </c>
      <c r="K48" s="131" t="s">
        <v>28</v>
      </c>
      <c r="L48" s="129"/>
      <c r="M48" s="132"/>
      <c r="N48" s="133"/>
      <c r="O48" s="133"/>
      <c r="P48" s="132"/>
      <c r="Q48" s="132"/>
      <c r="R48" s="134">
        <v>5</v>
      </c>
      <c r="S48" s="132" t="s">
        <v>523</v>
      </c>
      <c r="T48" s="132" t="s">
        <v>524</v>
      </c>
      <c r="U48" s="135"/>
      <c r="V48" s="136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</row>
    <row r="49" spans="1:32" ht="15" thickBot="1" x14ac:dyDescent="0.4">
      <c r="A49" s="130">
        <v>47</v>
      </c>
      <c r="B49" s="131" t="s">
        <v>665</v>
      </c>
      <c r="C49" s="131" t="s">
        <v>638</v>
      </c>
      <c r="D49" s="131" t="s">
        <v>666</v>
      </c>
      <c r="E49" s="131">
        <v>888343837</v>
      </c>
      <c r="F49" s="138" t="s">
        <v>667</v>
      </c>
      <c r="G49" s="131" t="s">
        <v>668</v>
      </c>
      <c r="H49" s="131" t="s">
        <v>671</v>
      </c>
      <c r="I49" s="131" t="s">
        <v>61</v>
      </c>
      <c r="J49" s="131" t="s">
        <v>61</v>
      </c>
      <c r="K49" s="131" t="s">
        <v>28</v>
      </c>
      <c r="L49" s="129"/>
      <c r="M49" s="132"/>
      <c r="N49" s="133"/>
      <c r="O49" s="133"/>
      <c r="P49" s="132"/>
      <c r="Q49" s="132"/>
      <c r="R49" s="134">
        <v>5</v>
      </c>
      <c r="S49" s="132" t="s">
        <v>523</v>
      </c>
      <c r="T49" s="132" t="s">
        <v>524</v>
      </c>
      <c r="U49" s="135"/>
      <c r="V49" s="136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</row>
    <row r="50" spans="1:32" ht="15" thickBot="1" x14ac:dyDescent="0.4">
      <c r="A50" s="130">
        <v>48</v>
      </c>
      <c r="B50" s="131" t="s">
        <v>665</v>
      </c>
      <c r="C50" s="131" t="s">
        <v>638</v>
      </c>
      <c r="D50" s="131" t="s">
        <v>666</v>
      </c>
      <c r="E50" s="131">
        <v>888343837</v>
      </c>
      <c r="F50" s="138" t="s">
        <v>667</v>
      </c>
      <c r="G50" s="131" t="s">
        <v>668</v>
      </c>
      <c r="H50" s="131" t="s">
        <v>672</v>
      </c>
      <c r="I50" s="131" t="s">
        <v>61</v>
      </c>
      <c r="J50" s="131" t="s">
        <v>61</v>
      </c>
      <c r="K50" s="131" t="s">
        <v>28</v>
      </c>
      <c r="L50" s="129"/>
      <c r="M50" s="132"/>
      <c r="N50" s="133"/>
      <c r="O50" s="133"/>
      <c r="P50" s="132"/>
      <c r="Q50" s="132"/>
      <c r="R50" s="134">
        <v>5</v>
      </c>
      <c r="S50" s="132" t="s">
        <v>523</v>
      </c>
      <c r="T50" s="132" t="s">
        <v>524</v>
      </c>
      <c r="U50" s="135"/>
      <c r="V50" s="136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</row>
    <row r="51" spans="1:32" ht="15" thickBot="1" x14ac:dyDescent="0.4">
      <c r="A51" s="130">
        <v>49</v>
      </c>
      <c r="B51" s="131" t="s">
        <v>665</v>
      </c>
      <c r="C51" s="131" t="s">
        <v>638</v>
      </c>
      <c r="D51" s="131" t="s">
        <v>666</v>
      </c>
      <c r="E51" s="131">
        <v>888343837</v>
      </c>
      <c r="F51" s="138" t="s">
        <v>667</v>
      </c>
      <c r="G51" s="131" t="s">
        <v>668</v>
      </c>
      <c r="H51" s="131" t="s">
        <v>673</v>
      </c>
      <c r="I51" s="131" t="s">
        <v>61</v>
      </c>
      <c r="J51" s="131" t="s">
        <v>61</v>
      </c>
      <c r="K51" s="131" t="s">
        <v>28</v>
      </c>
      <c r="L51" s="129"/>
      <c r="M51" s="132"/>
      <c r="N51" s="133"/>
      <c r="O51" s="133"/>
      <c r="P51" s="132"/>
      <c r="Q51" s="132"/>
      <c r="R51" s="134">
        <v>5</v>
      </c>
      <c r="S51" s="132" t="s">
        <v>523</v>
      </c>
      <c r="T51" s="132" t="s">
        <v>524</v>
      </c>
      <c r="U51" s="135"/>
      <c r="V51" s="136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</row>
    <row r="52" spans="1:32" ht="15" thickBot="1" x14ac:dyDescent="0.4">
      <c r="A52" s="130">
        <v>50</v>
      </c>
      <c r="B52" s="131" t="s">
        <v>665</v>
      </c>
      <c r="C52" s="131" t="s">
        <v>638</v>
      </c>
      <c r="D52" s="131" t="s">
        <v>666</v>
      </c>
      <c r="E52" s="131">
        <v>888343837</v>
      </c>
      <c r="F52" s="138" t="s">
        <v>667</v>
      </c>
      <c r="G52" s="131" t="s">
        <v>668</v>
      </c>
      <c r="H52" s="131" t="s">
        <v>674</v>
      </c>
      <c r="I52" s="131" t="s">
        <v>61</v>
      </c>
      <c r="J52" s="131" t="s">
        <v>61</v>
      </c>
      <c r="K52" s="131" t="s">
        <v>28</v>
      </c>
      <c r="L52" s="129"/>
      <c r="M52" s="132"/>
      <c r="N52" s="133"/>
      <c r="O52" s="133"/>
      <c r="P52" s="132"/>
      <c r="Q52" s="132"/>
      <c r="R52" s="134">
        <v>5</v>
      </c>
      <c r="S52" s="132" t="s">
        <v>523</v>
      </c>
      <c r="T52" s="132" t="s">
        <v>524</v>
      </c>
      <c r="U52" s="135"/>
      <c r="V52" s="136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</row>
    <row r="53" spans="1:32" ht="15" thickBot="1" x14ac:dyDescent="0.4">
      <c r="A53" s="130">
        <v>51</v>
      </c>
      <c r="B53" s="131" t="s">
        <v>665</v>
      </c>
      <c r="C53" s="131" t="s">
        <v>638</v>
      </c>
      <c r="D53" s="131" t="s">
        <v>666</v>
      </c>
      <c r="E53" s="131">
        <v>888343837</v>
      </c>
      <c r="F53" s="138" t="s">
        <v>667</v>
      </c>
      <c r="G53" s="131" t="s">
        <v>668</v>
      </c>
      <c r="H53" s="131" t="s">
        <v>675</v>
      </c>
      <c r="I53" s="131" t="s">
        <v>61</v>
      </c>
      <c r="J53" s="131" t="s">
        <v>61</v>
      </c>
      <c r="K53" s="131" t="s">
        <v>28</v>
      </c>
      <c r="L53" s="129"/>
      <c r="M53" s="132"/>
      <c r="N53" s="133"/>
      <c r="O53" s="133"/>
      <c r="P53" s="132"/>
      <c r="Q53" s="132"/>
      <c r="R53" s="134">
        <v>5</v>
      </c>
      <c r="S53" s="132" t="s">
        <v>523</v>
      </c>
      <c r="T53" s="132" t="s">
        <v>524</v>
      </c>
      <c r="U53" s="135"/>
      <c r="V53" s="136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</row>
    <row r="54" spans="1:32" ht="15" thickBot="1" x14ac:dyDescent="0.4">
      <c r="A54" s="130">
        <v>52</v>
      </c>
      <c r="B54" s="131" t="s">
        <v>665</v>
      </c>
      <c r="C54" s="131" t="s">
        <v>638</v>
      </c>
      <c r="D54" s="131" t="s">
        <v>666</v>
      </c>
      <c r="E54" s="131">
        <v>888343837</v>
      </c>
      <c r="F54" s="138" t="s">
        <v>667</v>
      </c>
      <c r="G54" s="131" t="s">
        <v>668</v>
      </c>
      <c r="H54" s="131" t="s">
        <v>676</v>
      </c>
      <c r="I54" s="131" t="s">
        <v>61</v>
      </c>
      <c r="J54" s="131" t="s">
        <v>61</v>
      </c>
      <c r="K54" s="131" t="s">
        <v>28</v>
      </c>
      <c r="L54" s="129"/>
      <c r="M54" s="132"/>
      <c r="N54" s="133"/>
      <c r="O54" s="133"/>
      <c r="P54" s="132"/>
      <c r="Q54" s="132"/>
      <c r="R54" s="134">
        <v>5</v>
      </c>
      <c r="S54" s="132" t="s">
        <v>523</v>
      </c>
      <c r="T54" s="132" t="s">
        <v>524</v>
      </c>
      <c r="U54" s="135"/>
      <c r="V54" s="136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</row>
    <row r="55" spans="1:32" ht="15" thickBot="1" x14ac:dyDescent="0.4">
      <c r="A55" s="130">
        <v>53</v>
      </c>
      <c r="B55" s="131" t="s">
        <v>665</v>
      </c>
      <c r="C55" s="131" t="s">
        <v>638</v>
      </c>
      <c r="D55" s="131" t="s">
        <v>666</v>
      </c>
      <c r="E55" s="131">
        <v>888343837</v>
      </c>
      <c r="F55" s="138" t="s">
        <v>667</v>
      </c>
      <c r="G55" s="131" t="s">
        <v>668</v>
      </c>
      <c r="H55" s="131" t="s">
        <v>677</v>
      </c>
      <c r="I55" s="131" t="s">
        <v>61</v>
      </c>
      <c r="J55" s="131" t="s">
        <v>61</v>
      </c>
      <c r="K55" s="131" t="s">
        <v>28</v>
      </c>
      <c r="L55" s="129"/>
      <c r="M55" s="132"/>
      <c r="N55" s="133"/>
      <c r="O55" s="133"/>
      <c r="P55" s="132"/>
      <c r="Q55" s="132"/>
      <c r="R55" s="134">
        <v>5</v>
      </c>
      <c r="S55" s="132" t="s">
        <v>523</v>
      </c>
      <c r="T55" s="132" t="s">
        <v>524</v>
      </c>
      <c r="U55" s="135"/>
      <c r="V55" s="136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</row>
    <row r="56" spans="1:32" ht="15" thickBot="1" x14ac:dyDescent="0.4">
      <c r="A56" s="130">
        <v>54</v>
      </c>
      <c r="B56" s="131" t="s">
        <v>665</v>
      </c>
      <c r="C56" s="131" t="s">
        <v>638</v>
      </c>
      <c r="D56" s="131" t="s">
        <v>666</v>
      </c>
      <c r="E56" s="131">
        <v>888343837</v>
      </c>
      <c r="F56" s="138" t="s">
        <v>667</v>
      </c>
      <c r="G56" s="131" t="s">
        <v>668</v>
      </c>
      <c r="H56" s="131" t="s">
        <v>678</v>
      </c>
      <c r="I56" s="131" t="s">
        <v>61</v>
      </c>
      <c r="J56" s="131" t="s">
        <v>61</v>
      </c>
      <c r="K56" s="131" t="s">
        <v>28</v>
      </c>
      <c r="L56" s="129"/>
      <c r="M56" s="132"/>
      <c r="N56" s="133"/>
      <c r="O56" s="133"/>
      <c r="P56" s="132"/>
      <c r="Q56" s="132"/>
      <c r="R56" s="134">
        <v>5</v>
      </c>
      <c r="S56" s="132" t="s">
        <v>523</v>
      </c>
      <c r="T56" s="132" t="s">
        <v>524</v>
      </c>
      <c r="U56" s="135"/>
      <c r="V56" s="136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</row>
    <row r="57" spans="1:32" ht="15" thickBot="1" x14ac:dyDescent="0.4">
      <c r="A57" s="130">
        <v>55</v>
      </c>
      <c r="B57" s="131" t="s">
        <v>665</v>
      </c>
      <c r="C57" s="131" t="s">
        <v>638</v>
      </c>
      <c r="D57" s="131" t="s">
        <v>666</v>
      </c>
      <c r="E57" s="131">
        <v>888343837</v>
      </c>
      <c r="F57" s="138" t="s">
        <v>667</v>
      </c>
      <c r="G57" s="131" t="s">
        <v>668</v>
      </c>
      <c r="H57" s="131" t="s">
        <v>679</v>
      </c>
      <c r="I57" s="131" t="s">
        <v>61</v>
      </c>
      <c r="J57" s="131" t="s">
        <v>61</v>
      </c>
      <c r="K57" s="131" t="s">
        <v>28</v>
      </c>
      <c r="L57" s="129"/>
      <c r="M57" s="132"/>
      <c r="N57" s="133"/>
      <c r="O57" s="133"/>
      <c r="P57" s="132"/>
      <c r="Q57" s="132"/>
      <c r="R57" s="134">
        <v>5</v>
      </c>
      <c r="S57" s="132" t="s">
        <v>523</v>
      </c>
      <c r="T57" s="132" t="s">
        <v>524</v>
      </c>
      <c r="U57" s="135"/>
      <c r="V57" s="136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</row>
    <row r="58" spans="1:32" ht="15" thickBot="1" x14ac:dyDescent="0.4">
      <c r="A58" s="130">
        <v>56</v>
      </c>
      <c r="B58" s="131" t="s">
        <v>665</v>
      </c>
      <c r="C58" s="131" t="s">
        <v>638</v>
      </c>
      <c r="D58" s="131" t="s">
        <v>666</v>
      </c>
      <c r="E58" s="131">
        <v>888343837</v>
      </c>
      <c r="F58" s="138" t="s">
        <v>667</v>
      </c>
      <c r="G58" s="131" t="s">
        <v>668</v>
      </c>
      <c r="H58" s="131" t="s">
        <v>680</v>
      </c>
      <c r="I58" s="131" t="s">
        <v>61</v>
      </c>
      <c r="J58" s="131" t="s">
        <v>61</v>
      </c>
      <c r="K58" s="131" t="s">
        <v>28</v>
      </c>
      <c r="L58" s="129"/>
      <c r="M58" s="132"/>
      <c r="N58" s="133"/>
      <c r="O58" s="133"/>
      <c r="P58" s="132"/>
      <c r="Q58" s="132"/>
      <c r="R58" s="134">
        <v>5</v>
      </c>
      <c r="S58" s="132" t="s">
        <v>523</v>
      </c>
      <c r="T58" s="132" t="s">
        <v>524</v>
      </c>
      <c r="U58" s="135"/>
      <c r="V58" s="136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</row>
    <row r="59" spans="1:32" ht="15" thickBot="1" x14ac:dyDescent="0.4">
      <c r="A59" s="130">
        <v>57</v>
      </c>
      <c r="B59" s="131" t="s">
        <v>665</v>
      </c>
      <c r="C59" s="131" t="s">
        <v>638</v>
      </c>
      <c r="D59" s="131" t="s">
        <v>666</v>
      </c>
      <c r="E59" s="131">
        <v>888343837</v>
      </c>
      <c r="F59" s="138" t="s">
        <v>667</v>
      </c>
      <c r="G59" s="131" t="s">
        <v>668</v>
      </c>
      <c r="H59" s="131" t="s">
        <v>681</v>
      </c>
      <c r="I59" s="131" t="s">
        <v>61</v>
      </c>
      <c r="J59" s="131" t="s">
        <v>61</v>
      </c>
      <c r="K59" s="131" t="s">
        <v>28</v>
      </c>
      <c r="L59" s="129"/>
      <c r="M59" s="132"/>
      <c r="N59" s="133"/>
      <c r="O59" s="133"/>
      <c r="P59" s="132"/>
      <c r="Q59" s="132"/>
      <c r="R59" s="134">
        <v>5</v>
      </c>
      <c r="S59" s="132" t="s">
        <v>523</v>
      </c>
      <c r="T59" s="132" t="s">
        <v>524</v>
      </c>
      <c r="U59" s="135"/>
      <c r="V59" s="136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</row>
    <row r="60" spans="1:32" ht="15" thickBot="1" x14ac:dyDescent="0.4">
      <c r="A60" s="130">
        <v>58</v>
      </c>
      <c r="B60" s="131" t="s">
        <v>665</v>
      </c>
      <c r="C60" s="131" t="s">
        <v>638</v>
      </c>
      <c r="D60" s="131" t="s">
        <v>666</v>
      </c>
      <c r="E60" s="131">
        <v>888343837</v>
      </c>
      <c r="F60" s="138" t="s">
        <v>667</v>
      </c>
      <c r="G60" s="131" t="s">
        <v>668</v>
      </c>
      <c r="H60" s="131" t="s">
        <v>682</v>
      </c>
      <c r="I60" s="131" t="s">
        <v>61</v>
      </c>
      <c r="J60" s="131" t="s">
        <v>61</v>
      </c>
      <c r="K60" s="131" t="s">
        <v>28</v>
      </c>
      <c r="L60" s="129"/>
      <c r="M60" s="132"/>
      <c r="N60" s="133"/>
      <c r="O60" s="133"/>
      <c r="P60" s="132"/>
      <c r="Q60" s="132"/>
      <c r="R60" s="134">
        <v>5</v>
      </c>
      <c r="S60" s="132" t="s">
        <v>523</v>
      </c>
      <c r="T60" s="132" t="s">
        <v>524</v>
      </c>
      <c r="U60" s="135"/>
      <c r="V60" s="136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</row>
  </sheetData>
  <mergeCells count="10">
    <mergeCell ref="L1:L2"/>
    <mergeCell ref="U1:U2"/>
    <mergeCell ref="V1:V2"/>
    <mergeCell ref="W1:AF1"/>
    <mergeCell ref="A1:A2"/>
    <mergeCell ref="B1:B2"/>
    <mergeCell ref="C1:G1"/>
    <mergeCell ref="H1:H2"/>
    <mergeCell ref="I1:J1"/>
    <mergeCell ref="K1:K2"/>
  </mergeCells>
  <hyperlinks>
    <hyperlink ref="F7" r:id="rId1" xr:uid="{01825118-46F6-44BD-B80F-15DC35545214}"/>
    <hyperlink ref="F8" r:id="rId2" xr:uid="{67D80C88-1DEA-453B-A3AC-8F8831BE6B66}"/>
    <hyperlink ref="F9" r:id="rId3" xr:uid="{ABA36377-DFE0-44D6-912E-DF96A12EAF5F}"/>
    <hyperlink ref="F25" r:id="rId4" xr:uid="{3AE582FC-3898-4771-9A1A-8D683CA87CA2}"/>
    <hyperlink ref="F26" r:id="rId5" xr:uid="{9186AFA1-78A9-4A95-A5EA-E7D3C6B1B9DF}"/>
    <hyperlink ref="F27" r:id="rId6" xr:uid="{5C90F821-588E-4A6B-9662-E40393342052}"/>
    <hyperlink ref="F29" r:id="rId7" xr:uid="{C24A09E2-35B4-4136-A34D-AF7751DFD436}"/>
    <hyperlink ref="F30" r:id="rId8" xr:uid="{42570A22-D593-4916-967F-2AFCCABA96BD}"/>
    <hyperlink ref="F33" r:id="rId9" xr:uid="{F36BCC7F-FF09-4709-A4B7-1DA18AEE58C0}"/>
    <hyperlink ref="F37" r:id="rId10" xr:uid="{43901734-34F6-4AD5-8248-8D2A4BA1F870}"/>
    <hyperlink ref="F38" r:id="rId11" xr:uid="{97769420-34B2-48EE-8685-808F3C335854}"/>
    <hyperlink ref="F39" r:id="rId12" xr:uid="{C4BF5A0A-978C-40D9-A334-6E115BA67FAB}"/>
    <hyperlink ref="F40" r:id="rId13" xr:uid="{097D5C7A-66D0-402D-885D-07210DDA67F1}"/>
    <hyperlink ref="F41" r:id="rId14" xr:uid="{AC979AC5-3B1E-4E36-ACC8-8E546ECF31E6}"/>
    <hyperlink ref="F42" r:id="rId15" xr:uid="{A69BC127-6C5B-4DCF-8A29-7747CBE2DF14}"/>
    <hyperlink ref="F43" r:id="rId16" xr:uid="{02FFEF12-E5D5-40F1-AEF2-384CA8CEC876}"/>
    <hyperlink ref="F44" r:id="rId17" xr:uid="{C310DA1E-9B52-4B99-9F33-D9C862E75B24}"/>
    <hyperlink ref="F45" r:id="rId18" xr:uid="{3B3AD0C1-E449-489F-A6F6-40A9277B8E02}"/>
    <hyperlink ref="F46" r:id="rId19" xr:uid="{58175EF0-2FA8-4038-9BD0-EAD36F2BB1A9}"/>
    <hyperlink ref="F47" r:id="rId20" xr:uid="{BF53D410-ABD1-4758-A285-10951645297E}"/>
    <hyperlink ref="F48" r:id="rId21" xr:uid="{AC32BC40-6A8D-464D-B0DF-2738F8632D8B}"/>
    <hyperlink ref="F49" r:id="rId22" xr:uid="{ECE13F5F-F1C7-4C10-9D39-743A729AC567}"/>
    <hyperlink ref="F50" r:id="rId23" xr:uid="{5BA3596E-46FE-4DC2-BEF8-74F5D39DB5AE}"/>
    <hyperlink ref="F51" r:id="rId24" xr:uid="{4CBE2840-ECCF-4C1E-85F1-759CA29BC324}"/>
    <hyperlink ref="F52" r:id="rId25" xr:uid="{3E8666FA-A1DF-4BE5-B99A-5AC6D0BEC189}"/>
    <hyperlink ref="F53" r:id="rId26" xr:uid="{E8337E64-3BD7-40E1-B588-F2449BF163B5}"/>
    <hyperlink ref="F54" r:id="rId27" xr:uid="{61177903-C6E9-49EC-B392-FE19CE11DD13}"/>
    <hyperlink ref="F55" r:id="rId28" xr:uid="{0C75BF9D-52B4-4518-9AFD-18C79E18CC90}"/>
    <hyperlink ref="F56" r:id="rId29" xr:uid="{B4EDC893-3D6E-4592-BFC2-AD35C9CDC118}"/>
    <hyperlink ref="F57" r:id="rId30" xr:uid="{5B6C92FC-C01E-47DC-A00A-F5864BBDB44A}"/>
    <hyperlink ref="F58" r:id="rId31" xr:uid="{FB5B29E6-A885-4DDD-AB6E-93AAF20D5BA4}"/>
    <hyperlink ref="F59" r:id="rId32" xr:uid="{223C126C-68F5-43AB-8EB2-B3D3E8E5D4FC}"/>
    <hyperlink ref="F60" r:id="rId33" xr:uid="{EC2FB81E-B821-4B7B-8DFD-7F9C6ED3464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A87C-02B9-4CE1-BCAF-C560D71AD41E}">
  <dimension ref="A1:AL214"/>
  <sheetViews>
    <sheetView tabSelected="1" workbookViewId="0">
      <selection activeCell="J3" sqref="J3"/>
    </sheetView>
  </sheetViews>
  <sheetFormatPr defaultRowHeight="14.5" x14ac:dyDescent="0.35"/>
  <sheetData>
    <row r="1" spans="1:38" x14ac:dyDescent="0.35">
      <c r="A1" s="140" t="s">
        <v>495</v>
      </c>
      <c r="B1" s="141" t="s">
        <v>683</v>
      </c>
      <c r="C1" s="140" t="s">
        <v>496</v>
      </c>
      <c r="D1" s="140"/>
      <c r="E1" s="140"/>
      <c r="F1" s="140"/>
      <c r="G1" s="140"/>
      <c r="H1" s="140"/>
      <c r="I1" s="140" t="s">
        <v>497</v>
      </c>
      <c r="J1" s="140" t="s">
        <v>498</v>
      </c>
      <c r="K1" s="140"/>
      <c r="L1" s="140" t="s">
        <v>499</v>
      </c>
      <c r="M1" s="141" t="s">
        <v>500</v>
      </c>
      <c r="N1" s="142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4" t="s">
        <v>501</v>
      </c>
      <c r="AB1" s="144" t="s">
        <v>502</v>
      </c>
      <c r="AC1" s="141" t="s">
        <v>503</v>
      </c>
      <c r="AD1" s="141"/>
      <c r="AE1" s="141"/>
      <c r="AF1" s="141"/>
      <c r="AG1" s="141"/>
      <c r="AH1" s="141"/>
      <c r="AI1" s="141"/>
      <c r="AJ1" s="141"/>
      <c r="AK1" s="141"/>
      <c r="AL1" s="141"/>
    </row>
    <row r="2" spans="1:38" ht="128" x14ac:dyDescent="0.4">
      <c r="A2" s="140"/>
      <c r="B2" s="141"/>
      <c r="C2" s="140"/>
      <c r="D2" s="124" t="s">
        <v>504</v>
      </c>
      <c r="E2" s="124" t="s">
        <v>505</v>
      </c>
      <c r="F2" s="124" t="s">
        <v>506</v>
      </c>
      <c r="G2" s="124" t="s">
        <v>507</v>
      </c>
      <c r="H2" s="124" t="s">
        <v>508</v>
      </c>
      <c r="I2" s="140"/>
      <c r="J2" s="142" t="s">
        <v>509</v>
      </c>
      <c r="K2" s="142" t="s">
        <v>510</v>
      </c>
      <c r="L2" s="140"/>
      <c r="M2" s="141"/>
      <c r="N2" s="142" t="s">
        <v>511</v>
      </c>
      <c r="O2" s="124" t="s">
        <v>684</v>
      </c>
      <c r="P2" s="125" t="s">
        <v>513</v>
      </c>
      <c r="Q2" s="124" t="s">
        <v>515</v>
      </c>
      <c r="R2" s="124" t="s">
        <v>516</v>
      </c>
      <c r="S2" s="145" t="s">
        <v>685</v>
      </c>
      <c r="T2" s="1" t="s">
        <v>686</v>
      </c>
      <c r="U2" s="1" t="s">
        <v>687</v>
      </c>
      <c r="V2" s="145" t="s">
        <v>688</v>
      </c>
      <c r="W2" s="145" t="s">
        <v>689</v>
      </c>
      <c r="X2" s="145" t="s">
        <v>690</v>
      </c>
      <c r="Y2" s="145" t="s">
        <v>691</v>
      </c>
      <c r="Z2" s="145" t="s">
        <v>692</v>
      </c>
      <c r="AA2" s="144"/>
      <c r="AB2" s="144"/>
      <c r="AC2" s="124">
        <f>2023</f>
        <v>2023</v>
      </c>
      <c r="AD2" s="124">
        <f>AC2-1</f>
        <v>2022</v>
      </c>
      <c r="AE2" s="124">
        <f t="shared" ref="AE2:AL2" si="0">AD2-1</f>
        <v>2021</v>
      </c>
      <c r="AF2" s="124">
        <f t="shared" si="0"/>
        <v>2020</v>
      </c>
      <c r="AG2" s="124">
        <f t="shared" si="0"/>
        <v>2019</v>
      </c>
      <c r="AH2" s="124">
        <f t="shared" si="0"/>
        <v>2018</v>
      </c>
      <c r="AI2" s="124">
        <f t="shared" si="0"/>
        <v>2017</v>
      </c>
      <c r="AJ2" s="124">
        <f t="shared" si="0"/>
        <v>2016</v>
      </c>
      <c r="AK2" s="124">
        <f t="shared" si="0"/>
        <v>2015</v>
      </c>
      <c r="AL2" s="124">
        <f t="shared" si="0"/>
        <v>2014</v>
      </c>
    </row>
    <row r="3" spans="1:38" ht="116" x14ac:dyDescent="0.35">
      <c r="A3" s="142">
        <v>1</v>
      </c>
      <c r="B3" s="146" t="s">
        <v>693</v>
      </c>
      <c r="C3" s="146" t="s">
        <v>694</v>
      </c>
      <c r="D3" s="146" t="s">
        <v>695</v>
      </c>
      <c r="E3" s="146" t="s">
        <v>696</v>
      </c>
      <c r="F3" s="146">
        <v>999962773</v>
      </c>
      <c r="G3" s="146" t="s">
        <v>697</v>
      </c>
      <c r="H3" s="146" t="s">
        <v>698</v>
      </c>
      <c r="I3" s="146" t="s">
        <v>272</v>
      </c>
      <c r="J3" s="146">
        <v>577088</v>
      </c>
      <c r="K3" s="146">
        <v>8896077</v>
      </c>
      <c r="L3" s="146" t="s">
        <v>272</v>
      </c>
      <c r="M3" s="146" t="s">
        <v>699</v>
      </c>
      <c r="N3" s="147">
        <v>2</v>
      </c>
      <c r="O3" s="148">
        <v>47184</v>
      </c>
      <c r="P3" s="148">
        <v>45359</v>
      </c>
      <c r="Q3" s="146" t="s">
        <v>700</v>
      </c>
      <c r="R3" s="149">
        <v>10877</v>
      </c>
      <c r="S3" s="146" t="s">
        <v>701</v>
      </c>
      <c r="T3" s="146" t="s">
        <v>697</v>
      </c>
      <c r="U3" s="150" t="s">
        <v>702</v>
      </c>
      <c r="V3" s="150" t="s">
        <v>703</v>
      </c>
      <c r="W3" s="146" t="s">
        <v>704</v>
      </c>
      <c r="X3" s="146" t="s">
        <v>697</v>
      </c>
      <c r="Y3" s="146" t="s">
        <v>705</v>
      </c>
      <c r="Z3" s="146" t="s">
        <v>706</v>
      </c>
      <c r="AA3" s="151">
        <v>12123475</v>
      </c>
      <c r="AB3" s="151">
        <v>0</v>
      </c>
      <c r="AC3" s="146" t="s">
        <v>707</v>
      </c>
      <c r="AD3" s="146" t="s">
        <v>707</v>
      </c>
      <c r="AE3" s="146" t="s">
        <v>707</v>
      </c>
      <c r="AF3" s="146" t="s">
        <v>707</v>
      </c>
      <c r="AG3" s="146" t="s">
        <v>707</v>
      </c>
      <c r="AH3" s="146" t="s">
        <v>707</v>
      </c>
      <c r="AI3" s="146" t="s">
        <v>707</v>
      </c>
      <c r="AJ3" s="146" t="s">
        <v>707</v>
      </c>
      <c r="AK3" s="146" t="s">
        <v>707</v>
      </c>
      <c r="AL3" s="146" t="s">
        <v>707</v>
      </c>
    </row>
    <row r="4" spans="1:38" x14ac:dyDescent="0.35">
      <c r="A4" s="142">
        <v>2</v>
      </c>
      <c r="B4" s="146" t="s">
        <v>693</v>
      </c>
      <c r="C4" s="146" t="s">
        <v>694</v>
      </c>
      <c r="D4" s="146" t="s">
        <v>695</v>
      </c>
      <c r="E4" s="146" t="s">
        <v>696</v>
      </c>
      <c r="F4" s="146">
        <v>999962773</v>
      </c>
      <c r="G4" s="146" t="s">
        <v>697</v>
      </c>
      <c r="H4" s="146" t="s">
        <v>698</v>
      </c>
      <c r="I4" s="146" t="s">
        <v>272</v>
      </c>
      <c r="J4" s="146" t="s">
        <v>61</v>
      </c>
      <c r="K4" s="146" t="s">
        <v>61</v>
      </c>
      <c r="L4" s="146" t="s">
        <v>272</v>
      </c>
      <c r="M4" s="146"/>
      <c r="N4" s="147"/>
      <c r="O4" s="148"/>
      <c r="P4" s="148"/>
      <c r="Q4" s="146"/>
      <c r="R4" s="149"/>
      <c r="S4" s="146"/>
      <c r="T4" s="146"/>
      <c r="U4" s="150"/>
      <c r="V4" s="146"/>
      <c r="W4" s="146"/>
      <c r="X4" s="146"/>
      <c r="Y4" s="146"/>
      <c r="Z4" s="146"/>
      <c r="AA4" s="151">
        <v>6000000</v>
      </c>
      <c r="AB4" s="151">
        <v>0</v>
      </c>
      <c r="AC4" s="146" t="s">
        <v>707</v>
      </c>
      <c r="AD4" s="146" t="s">
        <v>707</v>
      </c>
      <c r="AE4" s="146" t="s">
        <v>707</v>
      </c>
      <c r="AF4" s="146" t="s">
        <v>707</v>
      </c>
      <c r="AG4" s="146" t="s">
        <v>707</v>
      </c>
      <c r="AH4" s="146" t="s">
        <v>707</v>
      </c>
      <c r="AI4" s="146" t="s">
        <v>707</v>
      </c>
      <c r="AJ4" s="146" t="s">
        <v>707</v>
      </c>
      <c r="AK4" s="146" t="s">
        <v>707</v>
      </c>
      <c r="AL4" s="146" t="s">
        <v>707</v>
      </c>
    </row>
    <row r="5" spans="1:38" ht="72.5" x14ac:dyDescent="0.35">
      <c r="A5" s="142">
        <v>3</v>
      </c>
      <c r="B5" s="146" t="s">
        <v>708</v>
      </c>
      <c r="C5" s="146" t="s">
        <v>709</v>
      </c>
      <c r="D5" s="146" t="s">
        <v>710</v>
      </c>
      <c r="E5" s="146" t="s">
        <v>697</v>
      </c>
      <c r="F5" s="150" t="s">
        <v>711</v>
      </c>
      <c r="G5" s="146" t="s">
        <v>697</v>
      </c>
      <c r="H5" s="146" t="s">
        <v>712</v>
      </c>
      <c r="I5" s="146" t="s">
        <v>18</v>
      </c>
      <c r="J5" s="146" t="s">
        <v>697</v>
      </c>
      <c r="K5" s="146" t="s">
        <v>697</v>
      </c>
      <c r="L5" s="146" t="s">
        <v>18</v>
      </c>
      <c r="M5" s="146" t="s">
        <v>713</v>
      </c>
      <c r="N5" s="147">
        <v>2</v>
      </c>
      <c r="O5" s="148">
        <v>44805</v>
      </c>
      <c r="P5" s="148">
        <v>42979</v>
      </c>
      <c r="Q5" s="146" t="s">
        <v>700</v>
      </c>
      <c r="R5" s="149">
        <v>1300</v>
      </c>
      <c r="S5" s="146" t="s">
        <v>714</v>
      </c>
      <c r="T5" s="146" t="s">
        <v>697</v>
      </c>
      <c r="U5" s="150" t="s">
        <v>715</v>
      </c>
      <c r="V5" s="146" t="s">
        <v>697</v>
      </c>
      <c r="W5" s="146" t="s">
        <v>704</v>
      </c>
      <c r="X5" s="146" t="s">
        <v>697</v>
      </c>
      <c r="Y5" s="146" t="s">
        <v>705</v>
      </c>
      <c r="Z5" s="146" t="s">
        <v>706</v>
      </c>
      <c r="AA5" s="151">
        <v>740950</v>
      </c>
      <c r="AB5" s="151">
        <v>200000</v>
      </c>
      <c r="AC5" s="146" t="s">
        <v>716</v>
      </c>
      <c r="AD5" s="146" t="s">
        <v>716</v>
      </c>
      <c r="AE5" s="146" t="s">
        <v>716</v>
      </c>
      <c r="AF5" s="146" t="s">
        <v>716</v>
      </c>
      <c r="AG5" s="146" t="s">
        <v>716</v>
      </c>
      <c r="AH5" s="146" t="s">
        <v>716</v>
      </c>
      <c r="AI5" s="146" t="s">
        <v>716</v>
      </c>
      <c r="AJ5" s="146" t="s">
        <v>716</v>
      </c>
      <c r="AK5" s="146" t="s">
        <v>716</v>
      </c>
      <c r="AL5" s="146" t="s">
        <v>716</v>
      </c>
    </row>
    <row r="6" spans="1:38" ht="58" x14ac:dyDescent="0.35">
      <c r="A6" s="142">
        <v>4</v>
      </c>
      <c r="B6" s="146" t="s">
        <v>717</v>
      </c>
      <c r="C6" s="146" t="s">
        <v>718</v>
      </c>
      <c r="D6" s="146" t="s">
        <v>719</v>
      </c>
      <c r="E6" s="146" t="s">
        <v>697</v>
      </c>
      <c r="F6" s="146" t="s">
        <v>697</v>
      </c>
      <c r="G6" s="146" t="s">
        <v>697</v>
      </c>
      <c r="H6" s="146" t="s">
        <v>720</v>
      </c>
      <c r="I6" s="146" t="s">
        <v>719</v>
      </c>
      <c r="J6" s="146" t="s">
        <v>697</v>
      </c>
      <c r="K6" s="146" t="s">
        <v>697</v>
      </c>
      <c r="L6" s="146" t="s">
        <v>721</v>
      </c>
      <c r="M6" s="146" t="s">
        <v>722</v>
      </c>
      <c r="N6" s="147">
        <v>2</v>
      </c>
      <c r="O6" s="148">
        <v>44569</v>
      </c>
      <c r="P6" s="148">
        <v>42744</v>
      </c>
      <c r="Q6" s="146" t="s">
        <v>700</v>
      </c>
      <c r="R6" s="149">
        <v>864</v>
      </c>
      <c r="S6" s="146" t="s">
        <v>714</v>
      </c>
      <c r="T6" s="146" t="s">
        <v>697</v>
      </c>
      <c r="U6" s="150" t="s">
        <v>723</v>
      </c>
      <c r="V6" s="146" t="s">
        <v>724</v>
      </c>
      <c r="W6" s="146" t="s">
        <v>704</v>
      </c>
      <c r="X6" s="146" t="s">
        <v>697</v>
      </c>
      <c r="Y6" s="146" t="s">
        <v>725</v>
      </c>
      <c r="Z6" s="146" t="s">
        <v>706</v>
      </c>
      <c r="AA6" s="151">
        <v>518154</v>
      </c>
      <c r="AB6" s="151">
        <v>200000</v>
      </c>
      <c r="AC6" s="146" t="s">
        <v>716</v>
      </c>
      <c r="AD6" s="146" t="s">
        <v>716</v>
      </c>
      <c r="AE6" s="146" t="s">
        <v>716</v>
      </c>
      <c r="AF6" s="146" t="s">
        <v>716</v>
      </c>
      <c r="AG6" s="146" t="s">
        <v>716</v>
      </c>
      <c r="AH6" s="146" t="s">
        <v>716</v>
      </c>
      <c r="AI6" s="146" t="s">
        <v>716</v>
      </c>
      <c r="AJ6" s="146" t="s">
        <v>716</v>
      </c>
      <c r="AK6" s="146" t="s">
        <v>716</v>
      </c>
      <c r="AL6" s="146"/>
    </row>
    <row r="7" spans="1:38" x14ac:dyDescent="0.35">
      <c r="A7" s="142">
        <v>5</v>
      </c>
      <c r="B7" s="146" t="s">
        <v>726</v>
      </c>
      <c r="C7" s="146" t="s">
        <v>727</v>
      </c>
      <c r="D7" s="146" t="s">
        <v>728</v>
      </c>
      <c r="E7" s="146" t="s">
        <v>697</v>
      </c>
      <c r="F7" s="146" t="s">
        <v>697</v>
      </c>
      <c r="G7" s="146" t="s">
        <v>697</v>
      </c>
      <c r="H7" s="146" t="s">
        <v>729</v>
      </c>
      <c r="I7" s="146" t="s">
        <v>730</v>
      </c>
      <c r="J7" s="146" t="s">
        <v>697</v>
      </c>
      <c r="K7" s="146" t="s">
        <v>697</v>
      </c>
      <c r="L7" s="146" t="s">
        <v>28</v>
      </c>
      <c r="M7" s="146" t="s">
        <v>731</v>
      </c>
      <c r="N7" s="147">
        <v>2</v>
      </c>
      <c r="O7" s="148">
        <v>45106</v>
      </c>
      <c r="P7" s="148">
        <v>44376</v>
      </c>
      <c r="Q7" s="146" t="s">
        <v>700</v>
      </c>
      <c r="R7" s="149">
        <v>5</v>
      </c>
      <c r="S7" s="146" t="s">
        <v>697</v>
      </c>
      <c r="T7" s="146" t="s">
        <v>697</v>
      </c>
      <c r="U7" s="146" t="s">
        <v>732</v>
      </c>
      <c r="V7" s="146" t="s">
        <v>724</v>
      </c>
      <c r="W7" s="146" t="s">
        <v>733</v>
      </c>
      <c r="X7" s="146" t="s">
        <v>734</v>
      </c>
      <c r="Y7" s="146" t="s">
        <v>725</v>
      </c>
      <c r="Z7" s="146" t="s">
        <v>706</v>
      </c>
      <c r="AA7" s="151">
        <v>76650</v>
      </c>
      <c r="AB7" s="151">
        <v>200000</v>
      </c>
      <c r="AC7" s="146" t="s">
        <v>707</v>
      </c>
      <c r="AD7" s="146" t="s">
        <v>707</v>
      </c>
      <c r="AE7" s="146" t="s">
        <v>707</v>
      </c>
      <c r="AF7" s="146" t="s">
        <v>707</v>
      </c>
      <c r="AG7" s="146" t="s">
        <v>707</v>
      </c>
      <c r="AH7" s="146" t="s">
        <v>707</v>
      </c>
      <c r="AI7" s="146" t="s">
        <v>707</v>
      </c>
      <c r="AJ7" s="146" t="s">
        <v>707</v>
      </c>
      <c r="AK7" s="146" t="s">
        <v>707</v>
      </c>
      <c r="AL7" s="146" t="s">
        <v>707</v>
      </c>
    </row>
    <row r="8" spans="1:38" x14ac:dyDescent="0.35">
      <c r="A8" s="142">
        <v>6</v>
      </c>
      <c r="B8" s="146" t="s">
        <v>735</v>
      </c>
      <c r="C8" s="146" t="s">
        <v>727</v>
      </c>
      <c r="D8" s="146" t="s">
        <v>736</v>
      </c>
      <c r="E8" s="146" t="s">
        <v>697</v>
      </c>
      <c r="F8" s="146" t="s">
        <v>697</v>
      </c>
      <c r="G8" s="146" t="s">
        <v>697</v>
      </c>
      <c r="H8" s="146" t="s">
        <v>729</v>
      </c>
      <c r="I8" s="146" t="s">
        <v>737</v>
      </c>
      <c r="J8" s="146" t="s">
        <v>697</v>
      </c>
      <c r="K8" s="146" t="s">
        <v>697</v>
      </c>
      <c r="L8" s="146" t="s">
        <v>18</v>
      </c>
      <c r="M8" s="146" t="s">
        <v>738</v>
      </c>
      <c r="N8" s="147">
        <v>2</v>
      </c>
      <c r="O8" s="148">
        <v>45106</v>
      </c>
      <c r="P8" s="148">
        <v>44376</v>
      </c>
      <c r="Q8" s="146" t="s">
        <v>700</v>
      </c>
      <c r="R8" s="149">
        <v>5</v>
      </c>
      <c r="S8" s="146" t="s">
        <v>697</v>
      </c>
      <c r="T8" s="146" t="s">
        <v>697</v>
      </c>
      <c r="U8" s="146" t="s">
        <v>732</v>
      </c>
      <c r="V8" s="146" t="s">
        <v>724</v>
      </c>
      <c r="W8" s="146" t="s">
        <v>733</v>
      </c>
      <c r="X8" s="146" t="s">
        <v>734</v>
      </c>
      <c r="Y8" s="146" t="s">
        <v>725</v>
      </c>
      <c r="Z8" s="146" t="s">
        <v>706</v>
      </c>
      <c r="AA8" s="151">
        <v>76650</v>
      </c>
      <c r="AB8" s="151">
        <v>200000</v>
      </c>
      <c r="AC8" s="146" t="s">
        <v>707</v>
      </c>
      <c r="AD8" s="146" t="s">
        <v>707</v>
      </c>
      <c r="AE8" s="146" t="s">
        <v>707</v>
      </c>
      <c r="AF8" s="146" t="s">
        <v>707</v>
      </c>
      <c r="AG8" s="146" t="s">
        <v>707</v>
      </c>
      <c r="AH8" s="146" t="s">
        <v>707</v>
      </c>
      <c r="AI8" s="146" t="s">
        <v>707</v>
      </c>
      <c r="AJ8" s="146" t="s">
        <v>707</v>
      </c>
      <c r="AK8" s="146" t="s">
        <v>707</v>
      </c>
      <c r="AL8" s="146" t="s">
        <v>707</v>
      </c>
    </row>
    <row r="9" spans="1:38" x14ac:dyDescent="0.35">
      <c r="A9" s="142">
        <v>7</v>
      </c>
      <c r="B9" s="146" t="s">
        <v>735</v>
      </c>
      <c r="C9" s="146" t="s">
        <v>727</v>
      </c>
      <c r="D9" s="146" t="s">
        <v>739</v>
      </c>
      <c r="E9" s="146" t="s">
        <v>697</v>
      </c>
      <c r="F9" s="146" t="s">
        <v>697</v>
      </c>
      <c r="G9" s="146" t="s">
        <v>697</v>
      </c>
      <c r="H9" s="146" t="s">
        <v>729</v>
      </c>
      <c r="I9" s="146" t="s">
        <v>740</v>
      </c>
      <c r="J9" s="146" t="s">
        <v>697</v>
      </c>
      <c r="K9" s="146" t="s">
        <v>697</v>
      </c>
      <c r="L9" s="146" t="s">
        <v>148</v>
      </c>
      <c r="M9" s="146" t="s">
        <v>741</v>
      </c>
      <c r="N9" s="147">
        <v>2</v>
      </c>
      <c r="O9" s="148">
        <v>45106</v>
      </c>
      <c r="P9" s="148">
        <v>44376</v>
      </c>
      <c r="Q9" s="146" t="s">
        <v>700</v>
      </c>
      <c r="R9" s="149">
        <v>5</v>
      </c>
      <c r="S9" s="146" t="s">
        <v>697</v>
      </c>
      <c r="T9" s="146" t="s">
        <v>697</v>
      </c>
      <c r="U9" s="146" t="s">
        <v>732</v>
      </c>
      <c r="V9" s="146" t="s">
        <v>724</v>
      </c>
      <c r="W9" s="146" t="s">
        <v>733</v>
      </c>
      <c r="X9" s="146" t="s">
        <v>734</v>
      </c>
      <c r="Y9" s="146" t="s">
        <v>725</v>
      </c>
      <c r="Z9" s="146" t="s">
        <v>706</v>
      </c>
      <c r="AA9" s="151">
        <v>76650</v>
      </c>
      <c r="AB9" s="151">
        <v>200000</v>
      </c>
      <c r="AC9" s="146" t="s">
        <v>707</v>
      </c>
      <c r="AD9" s="146" t="s">
        <v>707</v>
      </c>
      <c r="AE9" s="146" t="s">
        <v>707</v>
      </c>
      <c r="AF9" s="146" t="s">
        <v>707</v>
      </c>
      <c r="AG9" s="146" t="s">
        <v>707</v>
      </c>
      <c r="AH9" s="146" t="s">
        <v>707</v>
      </c>
      <c r="AI9" s="146" t="s">
        <v>707</v>
      </c>
      <c r="AJ9" s="146" t="s">
        <v>707</v>
      </c>
      <c r="AK9" s="146" t="s">
        <v>707</v>
      </c>
      <c r="AL9" s="146" t="s">
        <v>707</v>
      </c>
    </row>
    <row r="10" spans="1:38" x14ac:dyDescent="0.35">
      <c r="A10" s="142">
        <v>8</v>
      </c>
      <c r="B10" s="146" t="s">
        <v>742</v>
      </c>
      <c r="C10" s="146" t="s">
        <v>743</v>
      </c>
      <c r="D10" s="146" t="s">
        <v>744</v>
      </c>
      <c r="E10" s="146" t="s">
        <v>697</v>
      </c>
      <c r="F10" s="146" t="s">
        <v>697</v>
      </c>
      <c r="G10" s="146" t="s">
        <v>697</v>
      </c>
      <c r="H10" s="146" t="s">
        <v>745</v>
      </c>
      <c r="I10" s="146" t="s">
        <v>746</v>
      </c>
      <c r="J10" s="146" t="s">
        <v>697</v>
      </c>
      <c r="K10" s="146" t="s">
        <v>697</v>
      </c>
      <c r="L10" s="146" t="s">
        <v>747</v>
      </c>
      <c r="M10" s="146" t="s">
        <v>748</v>
      </c>
      <c r="N10" s="147">
        <v>2</v>
      </c>
      <c r="O10" s="148">
        <v>41965</v>
      </c>
      <c r="P10" s="148">
        <v>40140</v>
      </c>
      <c r="Q10" s="146" t="s">
        <v>700</v>
      </c>
      <c r="R10" s="149">
        <v>150</v>
      </c>
      <c r="S10" s="146" t="s">
        <v>749</v>
      </c>
      <c r="T10" s="146" t="s">
        <v>697</v>
      </c>
      <c r="U10" s="146" t="s">
        <v>750</v>
      </c>
      <c r="V10" s="146" t="s">
        <v>697</v>
      </c>
      <c r="W10" s="146" t="s">
        <v>704</v>
      </c>
      <c r="X10" s="146" t="s">
        <v>697</v>
      </c>
      <c r="Y10" s="146" t="s">
        <v>725</v>
      </c>
      <c r="Z10" s="146" t="s">
        <v>706</v>
      </c>
      <c r="AA10" s="151">
        <v>153300</v>
      </c>
      <c r="AB10" s="151">
        <v>200000</v>
      </c>
      <c r="AC10" s="146" t="s">
        <v>707</v>
      </c>
      <c r="AD10" s="146" t="s">
        <v>707</v>
      </c>
      <c r="AE10" s="146" t="s">
        <v>707</v>
      </c>
      <c r="AF10" s="146" t="s">
        <v>707</v>
      </c>
      <c r="AG10" s="146" t="s">
        <v>707</v>
      </c>
      <c r="AH10" s="146" t="s">
        <v>707</v>
      </c>
      <c r="AI10" s="146" t="s">
        <v>707</v>
      </c>
      <c r="AJ10" s="146" t="s">
        <v>707</v>
      </c>
      <c r="AK10" s="146" t="s">
        <v>707</v>
      </c>
      <c r="AL10" s="146" t="s">
        <v>707</v>
      </c>
    </row>
    <row r="11" spans="1:38" x14ac:dyDescent="0.35">
      <c r="A11" s="142">
        <v>9</v>
      </c>
      <c r="B11" s="146" t="s">
        <v>751</v>
      </c>
      <c r="C11" s="146" t="s">
        <v>752</v>
      </c>
      <c r="D11" s="146" t="s">
        <v>744</v>
      </c>
      <c r="E11" s="146" t="s">
        <v>697</v>
      </c>
      <c r="F11" s="146" t="s">
        <v>753</v>
      </c>
      <c r="G11" s="146" t="s">
        <v>697</v>
      </c>
      <c r="H11" s="146" t="s">
        <v>745</v>
      </c>
      <c r="I11" s="146" t="s">
        <v>746</v>
      </c>
      <c r="J11" s="146" t="s">
        <v>697</v>
      </c>
      <c r="K11" s="146" t="s">
        <v>697</v>
      </c>
      <c r="L11" s="146" t="s">
        <v>747</v>
      </c>
      <c r="M11" s="146" t="s">
        <v>754</v>
      </c>
      <c r="N11" s="147">
        <v>2</v>
      </c>
      <c r="O11" s="148">
        <v>41965</v>
      </c>
      <c r="P11" s="148">
        <v>40140</v>
      </c>
      <c r="Q11" s="146" t="s">
        <v>700</v>
      </c>
      <c r="R11" s="149">
        <v>140</v>
      </c>
      <c r="S11" s="146" t="s">
        <v>697</v>
      </c>
      <c r="T11" s="146" t="s">
        <v>755</v>
      </c>
      <c r="U11" s="146" t="s">
        <v>756</v>
      </c>
      <c r="V11" s="146" t="s">
        <v>697</v>
      </c>
      <c r="W11" s="146" t="s">
        <v>704</v>
      </c>
      <c r="X11" s="146" t="s">
        <v>734</v>
      </c>
      <c r="Y11" s="146" t="s">
        <v>725</v>
      </c>
      <c r="Z11" s="146" t="s">
        <v>706</v>
      </c>
      <c r="AA11" s="151">
        <v>145635</v>
      </c>
      <c r="AB11" s="151">
        <v>200000</v>
      </c>
      <c r="AC11" s="146" t="s">
        <v>707</v>
      </c>
      <c r="AD11" s="146" t="s">
        <v>707</v>
      </c>
      <c r="AE11" s="146" t="s">
        <v>707</v>
      </c>
      <c r="AF11" s="146" t="s">
        <v>707</v>
      </c>
      <c r="AG11" s="146" t="s">
        <v>707</v>
      </c>
      <c r="AH11" s="146" t="s">
        <v>707</v>
      </c>
      <c r="AI11" s="146" t="s">
        <v>707</v>
      </c>
      <c r="AJ11" s="146" t="s">
        <v>707</v>
      </c>
      <c r="AK11" s="146" t="s">
        <v>707</v>
      </c>
      <c r="AL11" s="146" t="s">
        <v>707</v>
      </c>
    </row>
    <row r="12" spans="1:38" x14ac:dyDescent="0.35">
      <c r="A12" s="142">
        <v>10</v>
      </c>
      <c r="B12" s="146" t="s">
        <v>757</v>
      </c>
      <c r="C12" s="146" t="s">
        <v>758</v>
      </c>
      <c r="D12" s="146" t="s">
        <v>759</v>
      </c>
      <c r="E12" s="146" t="s">
        <v>697</v>
      </c>
      <c r="F12" s="146" t="s">
        <v>697</v>
      </c>
      <c r="G12" s="146" t="s">
        <v>697</v>
      </c>
      <c r="H12" s="146" t="s">
        <v>760</v>
      </c>
      <c r="I12" s="146" t="s">
        <v>321</v>
      </c>
      <c r="J12" s="146" t="s">
        <v>697</v>
      </c>
      <c r="K12" s="146" t="s">
        <v>697</v>
      </c>
      <c r="L12" s="146" t="s">
        <v>321</v>
      </c>
      <c r="M12" s="146" t="s">
        <v>761</v>
      </c>
      <c r="N12" s="147">
        <v>2</v>
      </c>
      <c r="O12" s="148">
        <v>41965</v>
      </c>
      <c r="P12" s="148">
        <v>40140</v>
      </c>
      <c r="Q12" s="146" t="s">
        <v>700</v>
      </c>
      <c r="R12" s="149">
        <v>20</v>
      </c>
      <c r="S12" s="146" t="s">
        <v>697</v>
      </c>
      <c r="T12" s="146" t="s">
        <v>762</v>
      </c>
      <c r="U12" s="146" t="s">
        <v>750</v>
      </c>
      <c r="V12" s="146" t="s">
        <v>697</v>
      </c>
      <c r="W12" s="146" t="s">
        <v>704</v>
      </c>
      <c r="X12" s="146" t="s">
        <v>734</v>
      </c>
      <c r="Y12" s="146" t="s">
        <v>725</v>
      </c>
      <c r="Z12" s="146" t="s">
        <v>706</v>
      </c>
      <c r="AA12" s="151">
        <v>76650</v>
      </c>
      <c r="AB12" s="151">
        <v>200000</v>
      </c>
      <c r="AC12" s="146" t="s">
        <v>716</v>
      </c>
      <c r="AD12" s="146" t="s">
        <v>716</v>
      </c>
      <c r="AE12" s="146" t="s">
        <v>716</v>
      </c>
      <c r="AF12" s="146" t="s">
        <v>716</v>
      </c>
      <c r="AG12" s="146" t="s">
        <v>716</v>
      </c>
      <c r="AH12" s="146" t="s">
        <v>716</v>
      </c>
      <c r="AI12" s="146" t="s">
        <v>716</v>
      </c>
      <c r="AJ12" s="146" t="s">
        <v>716</v>
      </c>
      <c r="AK12" s="146" t="s">
        <v>716</v>
      </c>
      <c r="AL12" s="146" t="s">
        <v>716</v>
      </c>
    </row>
    <row r="13" spans="1:38" x14ac:dyDescent="0.35">
      <c r="A13" s="152">
        <v>11</v>
      </c>
      <c r="B13" s="153" t="s">
        <v>757</v>
      </c>
      <c r="C13" s="153" t="s">
        <v>758</v>
      </c>
      <c r="D13" s="153" t="s">
        <v>759</v>
      </c>
      <c r="E13" s="153" t="s">
        <v>697</v>
      </c>
      <c r="F13" s="153" t="s">
        <v>697</v>
      </c>
      <c r="G13" s="153" t="s">
        <v>697</v>
      </c>
      <c r="H13" s="153" t="s">
        <v>760</v>
      </c>
      <c r="I13" s="153" t="s">
        <v>321</v>
      </c>
      <c r="J13" s="153" t="s">
        <v>697</v>
      </c>
      <c r="K13" s="153" t="s">
        <v>697</v>
      </c>
      <c r="L13" s="153" t="s">
        <v>321</v>
      </c>
      <c r="M13" s="153" t="s">
        <v>763</v>
      </c>
      <c r="N13" s="154">
        <v>2</v>
      </c>
      <c r="O13" s="155">
        <v>30957</v>
      </c>
      <c r="P13" s="155">
        <v>30257</v>
      </c>
      <c r="Q13" s="153" t="s">
        <v>700</v>
      </c>
      <c r="R13" s="156">
        <v>745</v>
      </c>
      <c r="S13" s="153" t="s">
        <v>697</v>
      </c>
      <c r="T13" s="153" t="s">
        <v>764</v>
      </c>
      <c r="U13" s="153" t="s">
        <v>750</v>
      </c>
      <c r="V13" s="153" t="s">
        <v>697</v>
      </c>
      <c r="W13" s="153" t="s">
        <v>704</v>
      </c>
      <c r="X13" s="153" t="s">
        <v>697</v>
      </c>
      <c r="Y13" s="153" t="s">
        <v>725</v>
      </c>
      <c r="Z13" s="153" t="s">
        <v>706</v>
      </c>
      <c r="AA13" s="157">
        <v>457345</v>
      </c>
      <c r="AB13" s="157">
        <v>200000</v>
      </c>
      <c r="AC13" s="153" t="s">
        <v>716</v>
      </c>
      <c r="AD13" s="153" t="s">
        <v>716</v>
      </c>
      <c r="AE13" s="153" t="s">
        <v>716</v>
      </c>
      <c r="AF13" s="153" t="s">
        <v>716</v>
      </c>
      <c r="AG13" s="153" t="s">
        <v>716</v>
      </c>
      <c r="AH13" s="153" t="s">
        <v>716</v>
      </c>
      <c r="AI13" s="153" t="s">
        <v>716</v>
      </c>
      <c r="AJ13" s="153" t="s">
        <v>716</v>
      </c>
      <c r="AK13" s="153" t="s">
        <v>716</v>
      </c>
      <c r="AL13" s="153" t="s">
        <v>716</v>
      </c>
    </row>
    <row r="14" spans="1:38" x14ac:dyDescent="0.35">
      <c r="A14" s="152">
        <v>12</v>
      </c>
      <c r="B14" s="153" t="s">
        <v>765</v>
      </c>
      <c r="C14" s="153" t="s">
        <v>766</v>
      </c>
      <c r="D14" s="153" t="s">
        <v>767</v>
      </c>
      <c r="E14" s="153" t="s">
        <v>697</v>
      </c>
      <c r="F14" s="153" t="s">
        <v>697</v>
      </c>
      <c r="G14" s="153" t="s">
        <v>697</v>
      </c>
      <c r="H14" s="153" t="s">
        <v>768</v>
      </c>
      <c r="I14" s="153" t="s">
        <v>767</v>
      </c>
      <c r="J14" s="153" t="s">
        <v>697</v>
      </c>
      <c r="K14" s="153" t="s">
        <v>697</v>
      </c>
      <c r="L14" s="153" t="s">
        <v>767</v>
      </c>
      <c r="M14" s="153" t="s">
        <v>769</v>
      </c>
      <c r="N14" s="154">
        <v>2</v>
      </c>
      <c r="O14" s="155">
        <v>41965</v>
      </c>
      <c r="P14" s="155">
        <v>40140</v>
      </c>
      <c r="Q14" s="153" t="s">
        <v>700</v>
      </c>
      <c r="R14" s="156">
        <v>2.27</v>
      </c>
      <c r="S14" s="153" t="s">
        <v>697</v>
      </c>
      <c r="T14" s="153" t="s">
        <v>770</v>
      </c>
      <c r="U14" s="153" t="s">
        <v>750</v>
      </c>
      <c r="V14" s="153" t="s">
        <v>697</v>
      </c>
      <c r="W14" s="153" t="s">
        <v>704</v>
      </c>
      <c r="X14" s="153" t="s">
        <v>734</v>
      </c>
      <c r="Y14" s="153" t="s">
        <v>725</v>
      </c>
      <c r="Z14" s="153" t="s">
        <v>706</v>
      </c>
      <c r="AA14" s="157">
        <v>76650</v>
      </c>
      <c r="AB14" s="157">
        <v>200000</v>
      </c>
      <c r="AC14" s="153" t="s">
        <v>716</v>
      </c>
      <c r="AD14" s="153" t="s">
        <v>716</v>
      </c>
      <c r="AE14" s="153" t="s">
        <v>716</v>
      </c>
      <c r="AF14" s="153" t="s">
        <v>716</v>
      </c>
      <c r="AG14" s="153" t="s">
        <v>716</v>
      </c>
      <c r="AH14" s="153" t="s">
        <v>716</v>
      </c>
      <c r="AI14" s="153" t="s">
        <v>716</v>
      </c>
      <c r="AJ14" s="153" t="s">
        <v>716</v>
      </c>
      <c r="AK14" s="153" t="s">
        <v>716</v>
      </c>
      <c r="AL14" s="153" t="s">
        <v>716</v>
      </c>
    </row>
    <row r="15" spans="1:38" ht="87" x14ac:dyDescent="0.35">
      <c r="A15" s="158">
        <v>13</v>
      </c>
      <c r="B15" s="159" t="s">
        <v>771</v>
      </c>
      <c r="C15" s="159" t="s">
        <v>772</v>
      </c>
      <c r="D15" s="159" t="s">
        <v>773</v>
      </c>
      <c r="E15" s="159" t="s">
        <v>697</v>
      </c>
      <c r="F15" s="159" t="s">
        <v>697</v>
      </c>
      <c r="G15" s="159" t="s">
        <v>697</v>
      </c>
      <c r="H15" s="159" t="s">
        <v>774</v>
      </c>
      <c r="I15" s="159" t="s">
        <v>775</v>
      </c>
      <c r="J15" s="159" t="s">
        <v>697</v>
      </c>
      <c r="K15" s="159" t="s">
        <v>697</v>
      </c>
      <c r="L15" s="159" t="s">
        <v>775</v>
      </c>
      <c r="M15" s="159" t="s">
        <v>776</v>
      </c>
      <c r="N15" s="160">
        <v>2</v>
      </c>
      <c r="O15" s="161">
        <v>41965</v>
      </c>
      <c r="P15" s="161">
        <v>40140</v>
      </c>
      <c r="Q15" s="159" t="s">
        <v>700</v>
      </c>
      <c r="R15" s="162">
        <v>495</v>
      </c>
      <c r="S15" s="159" t="s">
        <v>697</v>
      </c>
      <c r="T15" s="159" t="s">
        <v>770</v>
      </c>
      <c r="U15" s="163" t="s">
        <v>777</v>
      </c>
      <c r="V15" s="159" t="s">
        <v>697</v>
      </c>
      <c r="W15" s="159" t="s">
        <v>704</v>
      </c>
      <c r="X15" s="159" t="s">
        <v>734</v>
      </c>
      <c r="Y15" s="159" t="s">
        <v>725</v>
      </c>
      <c r="Z15" s="159" t="s">
        <v>706</v>
      </c>
      <c r="AA15" s="164">
        <v>329595</v>
      </c>
      <c r="AB15" s="164">
        <v>200000</v>
      </c>
      <c r="AC15" s="159" t="s">
        <v>716</v>
      </c>
      <c r="AD15" s="159" t="s">
        <v>707</v>
      </c>
      <c r="AE15" s="159" t="s">
        <v>707</v>
      </c>
      <c r="AF15" s="159" t="s">
        <v>707</v>
      </c>
      <c r="AG15" s="159" t="s">
        <v>707</v>
      </c>
      <c r="AH15" s="159" t="s">
        <v>707</v>
      </c>
      <c r="AI15" s="159" t="s">
        <v>707</v>
      </c>
      <c r="AJ15" s="159" t="s">
        <v>707</v>
      </c>
      <c r="AK15" s="159" t="s">
        <v>707</v>
      </c>
      <c r="AL15" s="159" t="s">
        <v>707</v>
      </c>
    </row>
    <row r="16" spans="1:38" x14ac:dyDescent="0.35">
      <c r="A16" s="152">
        <v>14</v>
      </c>
      <c r="B16" s="153" t="s">
        <v>778</v>
      </c>
      <c r="C16" s="153" t="s">
        <v>779</v>
      </c>
      <c r="D16" s="153" t="s">
        <v>719</v>
      </c>
      <c r="E16" s="153" t="s">
        <v>697</v>
      </c>
      <c r="F16" s="153" t="s">
        <v>697</v>
      </c>
      <c r="G16" s="153" t="s">
        <v>697</v>
      </c>
      <c r="H16" s="153" t="s">
        <v>780</v>
      </c>
      <c r="I16" s="153" t="s">
        <v>719</v>
      </c>
      <c r="J16" s="153" t="s">
        <v>697</v>
      </c>
      <c r="K16" s="153" t="s">
        <v>697</v>
      </c>
      <c r="L16" s="153" t="s">
        <v>721</v>
      </c>
      <c r="M16" s="153" t="s">
        <v>781</v>
      </c>
      <c r="N16" s="154">
        <v>2</v>
      </c>
      <c r="O16" s="155">
        <v>41965</v>
      </c>
      <c r="P16" s="155">
        <v>40140</v>
      </c>
      <c r="Q16" s="153" t="s">
        <v>700</v>
      </c>
      <c r="R16" s="156">
        <v>2200</v>
      </c>
      <c r="S16" s="153" t="s">
        <v>697</v>
      </c>
      <c r="T16" s="153" t="s">
        <v>782</v>
      </c>
      <c r="U16" s="153" t="s">
        <v>783</v>
      </c>
      <c r="V16" s="153" t="s">
        <v>697</v>
      </c>
      <c r="W16" s="153" t="s">
        <v>704</v>
      </c>
      <c r="X16" s="153" t="s">
        <v>734</v>
      </c>
      <c r="Y16" s="153" t="s">
        <v>705</v>
      </c>
      <c r="Z16" s="153" t="s">
        <v>706</v>
      </c>
      <c r="AA16" s="157">
        <v>1200850</v>
      </c>
      <c r="AB16" s="157">
        <v>200000</v>
      </c>
      <c r="AC16" s="153" t="s">
        <v>716</v>
      </c>
      <c r="AD16" s="153" t="s">
        <v>707</v>
      </c>
      <c r="AE16" s="153" t="s">
        <v>707</v>
      </c>
      <c r="AF16" s="153" t="s">
        <v>707</v>
      </c>
      <c r="AG16" s="153" t="s">
        <v>707</v>
      </c>
      <c r="AH16" s="153" t="s">
        <v>707</v>
      </c>
      <c r="AI16" s="153" t="s">
        <v>707</v>
      </c>
      <c r="AJ16" s="153" t="s">
        <v>707</v>
      </c>
      <c r="AK16" s="153" t="s">
        <v>707</v>
      </c>
      <c r="AL16" s="153" t="s">
        <v>707</v>
      </c>
    </row>
    <row r="17" spans="1:38" x14ac:dyDescent="0.35">
      <c r="A17" s="152">
        <v>15</v>
      </c>
      <c r="B17" s="153" t="s">
        <v>778</v>
      </c>
      <c r="C17" s="153" t="s">
        <v>779</v>
      </c>
      <c r="D17" s="153" t="s">
        <v>719</v>
      </c>
      <c r="E17" s="153" t="s">
        <v>697</v>
      </c>
      <c r="F17" s="153" t="s">
        <v>697</v>
      </c>
      <c r="G17" s="153" t="s">
        <v>697</v>
      </c>
      <c r="H17" s="153" t="s">
        <v>780</v>
      </c>
      <c r="I17" s="153" t="s">
        <v>719</v>
      </c>
      <c r="J17" s="153" t="s">
        <v>697</v>
      </c>
      <c r="K17" s="153" t="s">
        <v>697</v>
      </c>
      <c r="L17" s="153" t="s">
        <v>721</v>
      </c>
      <c r="M17" s="153" t="s">
        <v>784</v>
      </c>
      <c r="N17" s="154">
        <v>2</v>
      </c>
      <c r="O17" s="155">
        <v>41965</v>
      </c>
      <c r="P17" s="155">
        <v>40140</v>
      </c>
      <c r="Q17" s="153" t="s">
        <v>700</v>
      </c>
      <c r="R17" s="156">
        <v>600</v>
      </c>
      <c r="S17" s="153" t="s">
        <v>697</v>
      </c>
      <c r="T17" s="153" t="s">
        <v>785</v>
      </c>
      <c r="U17" s="153" t="s">
        <v>783</v>
      </c>
      <c r="V17" s="153" t="s">
        <v>697</v>
      </c>
      <c r="W17" s="153" t="s">
        <v>704</v>
      </c>
      <c r="X17" s="153" t="s">
        <v>61</v>
      </c>
      <c r="Y17" s="153" t="s">
        <v>705</v>
      </c>
      <c r="Z17" s="153" t="s">
        <v>706</v>
      </c>
      <c r="AA17" s="157">
        <v>364087.5</v>
      </c>
      <c r="AB17" s="157">
        <v>200000</v>
      </c>
      <c r="AC17" s="153" t="s">
        <v>716</v>
      </c>
      <c r="AD17" s="153" t="s">
        <v>707</v>
      </c>
      <c r="AE17" s="153" t="s">
        <v>707</v>
      </c>
      <c r="AF17" s="153" t="s">
        <v>707</v>
      </c>
      <c r="AG17" s="153" t="s">
        <v>707</v>
      </c>
      <c r="AH17" s="153" t="s">
        <v>707</v>
      </c>
      <c r="AI17" s="153" t="s">
        <v>707</v>
      </c>
      <c r="AJ17" s="153" t="s">
        <v>707</v>
      </c>
      <c r="AK17" s="153" t="s">
        <v>707</v>
      </c>
      <c r="AL17" s="153" t="s">
        <v>707</v>
      </c>
    </row>
    <row r="18" spans="1:38" x14ac:dyDescent="0.35">
      <c r="A18" s="142">
        <v>16</v>
      </c>
      <c r="B18" s="146" t="s">
        <v>786</v>
      </c>
      <c r="C18" s="146" t="s">
        <v>787</v>
      </c>
      <c r="D18" s="146" t="s">
        <v>773</v>
      </c>
      <c r="E18" s="146" t="s">
        <v>697</v>
      </c>
      <c r="F18" s="146" t="s">
        <v>697</v>
      </c>
      <c r="G18" s="146" t="s">
        <v>697</v>
      </c>
      <c r="H18" s="146" t="s">
        <v>788</v>
      </c>
      <c r="I18" s="146" t="s">
        <v>789</v>
      </c>
      <c r="J18" s="146" t="s">
        <v>697</v>
      </c>
      <c r="K18" s="146" t="s">
        <v>697</v>
      </c>
      <c r="L18" s="146" t="s">
        <v>775</v>
      </c>
      <c r="M18" s="146" t="s">
        <v>790</v>
      </c>
      <c r="N18" s="147">
        <v>2</v>
      </c>
      <c r="O18" s="148">
        <v>41965</v>
      </c>
      <c r="P18" s="148">
        <v>40140</v>
      </c>
      <c r="Q18" s="146" t="s">
        <v>700</v>
      </c>
      <c r="R18" s="149">
        <v>412</v>
      </c>
      <c r="S18" s="146" t="s">
        <v>697</v>
      </c>
      <c r="T18" s="146" t="s">
        <v>791</v>
      </c>
      <c r="U18" s="146" t="s">
        <v>792</v>
      </c>
      <c r="V18" s="146" t="s">
        <v>697</v>
      </c>
      <c r="W18" s="146" t="s">
        <v>704</v>
      </c>
      <c r="X18" s="146" t="s">
        <v>734</v>
      </c>
      <c r="Y18" s="146" t="s">
        <v>705</v>
      </c>
      <c r="Z18" s="146" t="s">
        <v>706</v>
      </c>
      <c r="AA18" s="151">
        <v>287182</v>
      </c>
      <c r="AB18" s="151">
        <v>0</v>
      </c>
      <c r="AC18" s="146"/>
      <c r="AD18" s="146" t="s">
        <v>707</v>
      </c>
      <c r="AE18" s="146" t="s">
        <v>707</v>
      </c>
      <c r="AF18" s="146" t="s">
        <v>707</v>
      </c>
      <c r="AG18" s="146" t="s">
        <v>707</v>
      </c>
      <c r="AH18" s="146" t="s">
        <v>707</v>
      </c>
      <c r="AI18" s="146" t="s">
        <v>707</v>
      </c>
      <c r="AJ18" s="146" t="s">
        <v>707</v>
      </c>
      <c r="AK18" s="146" t="s">
        <v>707</v>
      </c>
      <c r="AL18" s="146" t="s">
        <v>707</v>
      </c>
    </row>
    <row r="19" spans="1:38" x14ac:dyDescent="0.35">
      <c r="A19" s="142">
        <v>17</v>
      </c>
      <c r="B19" s="146" t="s">
        <v>793</v>
      </c>
      <c r="C19" s="146" t="s">
        <v>794</v>
      </c>
      <c r="D19" s="146" t="s">
        <v>795</v>
      </c>
      <c r="E19" s="146" t="s">
        <v>796</v>
      </c>
      <c r="F19" s="146">
        <v>998176276</v>
      </c>
      <c r="G19" s="146" t="s">
        <v>697</v>
      </c>
      <c r="H19" s="146" t="s">
        <v>797</v>
      </c>
      <c r="I19" s="146" t="s">
        <v>795</v>
      </c>
      <c r="J19" s="146" t="s">
        <v>697</v>
      </c>
      <c r="K19" s="146" t="s">
        <v>697</v>
      </c>
      <c r="L19" s="146" t="s">
        <v>28</v>
      </c>
      <c r="M19" s="146" t="s">
        <v>798</v>
      </c>
      <c r="N19" s="147">
        <v>2</v>
      </c>
      <c r="O19" s="148">
        <v>41965</v>
      </c>
      <c r="P19" s="148">
        <v>40140</v>
      </c>
      <c r="Q19" s="146" t="s">
        <v>700</v>
      </c>
      <c r="R19" s="149">
        <v>50</v>
      </c>
      <c r="S19" s="146" t="s">
        <v>697</v>
      </c>
      <c r="T19" s="146" t="s">
        <v>799</v>
      </c>
      <c r="U19" s="146" t="s">
        <v>792</v>
      </c>
      <c r="V19" s="146" t="s">
        <v>697</v>
      </c>
      <c r="W19" s="146" t="s">
        <v>704</v>
      </c>
      <c r="X19" s="146" t="s">
        <v>697</v>
      </c>
      <c r="Y19" s="146" t="s">
        <v>705</v>
      </c>
      <c r="Z19" s="146" t="s">
        <v>706</v>
      </c>
      <c r="AA19" s="151">
        <v>76650</v>
      </c>
      <c r="AB19" s="151">
        <v>200000</v>
      </c>
      <c r="AC19" s="146" t="s">
        <v>716</v>
      </c>
      <c r="AD19" s="146" t="s">
        <v>716</v>
      </c>
      <c r="AE19" s="146" t="s">
        <v>716</v>
      </c>
      <c r="AF19" s="146" t="s">
        <v>716</v>
      </c>
      <c r="AG19" s="146" t="s">
        <v>716</v>
      </c>
      <c r="AH19" s="146" t="s">
        <v>716</v>
      </c>
      <c r="AI19" s="146" t="s">
        <v>716</v>
      </c>
      <c r="AJ19" s="146" t="s">
        <v>716</v>
      </c>
      <c r="AK19" s="146" t="s">
        <v>716</v>
      </c>
      <c r="AL19" s="146" t="s">
        <v>716</v>
      </c>
    </row>
    <row r="20" spans="1:38" x14ac:dyDescent="0.35">
      <c r="A20" s="165">
        <v>18</v>
      </c>
      <c r="B20" s="166" t="s">
        <v>800</v>
      </c>
      <c r="C20" s="167" t="s">
        <v>801</v>
      </c>
      <c r="D20" s="166" t="s">
        <v>767</v>
      </c>
      <c r="E20" s="166" t="s">
        <v>802</v>
      </c>
      <c r="F20" s="166">
        <v>999317107</v>
      </c>
      <c r="G20" s="166" t="s">
        <v>697</v>
      </c>
      <c r="H20" s="166" t="s">
        <v>803</v>
      </c>
      <c r="I20" s="166" t="s">
        <v>767</v>
      </c>
      <c r="J20" s="166" t="s">
        <v>697</v>
      </c>
      <c r="K20" s="166" t="s">
        <v>697</v>
      </c>
      <c r="L20" s="166" t="s">
        <v>767</v>
      </c>
      <c r="M20" s="166" t="s">
        <v>804</v>
      </c>
      <c r="N20" s="165">
        <v>2</v>
      </c>
      <c r="O20" s="168">
        <v>41965</v>
      </c>
      <c r="P20" s="168">
        <v>40140</v>
      </c>
      <c r="Q20" s="166" t="s">
        <v>700</v>
      </c>
      <c r="R20" s="169">
        <v>45</v>
      </c>
      <c r="S20" s="166" t="s">
        <v>697</v>
      </c>
      <c r="T20" s="166" t="s">
        <v>762</v>
      </c>
      <c r="U20" s="166" t="s">
        <v>792</v>
      </c>
      <c r="V20" s="166" t="s">
        <v>697</v>
      </c>
      <c r="W20" s="166" t="s">
        <v>704</v>
      </c>
      <c r="X20" s="166" t="s">
        <v>734</v>
      </c>
      <c r="Y20" s="166" t="s">
        <v>705</v>
      </c>
      <c r="Z20" s="166" t="s">
        <v>706</v>
      </c>
      <c r="AA20" s="170">
        <v>76650</v>
      </c>
      <c r="AB20" s="170">
        <v>0</v>
      </c>
      <c r="AC20" s="166" t="s">
        <v>716</v>
      </c>
      <c r="AD20" s="166" t="s">
        <v>707</v>
      </c>
      <c r="AE20" s="166" t="s">
        <v>707</v>
      </c>
      <c r="AF20" s="166" t="s">
        <v>707</v>
      </c>
      <c r="AG20" s="166" t="s">
        <v>707</v>
      </c>
      <c r="AH20" s="166" t="s">
        <v>707</v>
      </c>
      <c r="AI20" s="166" t="s">
        <v>707</v>
      </c>
      <c r="AJ20" s="166" t="s">
        <v>707</v>
      </c>
      <c r="AK20" s="166" t="s">
        <v>707</v>
      </c>
      <c r="AL20" s="166" t="s">
        <v>707</v>
      </c>
    </row>
    <row r="21" spans="1:38" x14ac:dyDescent="0.35">
      <c r="A21" s="142">
        <v>19</v>
      </c>
      <c r="B21" s="146" t="s">
        <v>800</v>
      </c>
      <c r="C21" s="171" t="s">
        <v>805</v>
      </c>
      <c r="D21" s="146" t="s">
        <v>767</v>
      </c>
      <c r="E21" s="146" t="s">
        <v>802</v>
      </c>
      <c r="F21" s="146">
        <v>999317107</v>
      </c>
      <c r="G21" s="146" t="s">
        <v>697</v>
      </c>
      <c r="H21" s="146" t="s">
        <v>806</v>
      </c>
      <c r="I21" s="146" t="s">
        <v>767</v>
      </c>
      <c r="J21" s="146" t="s">
        <v>697</v>
      </c>
      <c r="K21" s="146" t="s">
        <v>697</v>
      </c>
      <c r="L21" s="146" t="s">
        <v>767</v>
      </c>
      <c r="M21" s="146" t="s">
        <v>807</v>
      </c>
      <c r="N21" s="147">
        <v>2</v>
      </c>
      <c r="O21" s="148">
        <v>41965</v>
      </c>
      <c r="P21" s="148">
        <v>40140</v>
      </c>
      <c r="Q21" s="146" t="s">
        <v>700</v>
      </c>
      <c r="R21" s="149">
        <v>1.2</v>
      </c>
      <c r="S21" s="146" t="s">
        <v>697</v>
      </c>
      <c r="T21" s="146" t="s">
        <v>762</v>
      </c>
      <c r="U21" s="146" t="s">
        <v>792</v>
      </c>
      <c r="V21" s="146" t="s">
        <v>697</v>
      </c>
      <c r="W21" s="146" t="s">
        <v>704</v>
      </c>
      <c r="X21" s="146" t="s">
        <v>734</v>
      </c>
      <c r="Y21" s="146" t="s">
        <v>705</v>
      </c>
      <c r="Z21" s="146" t="s">
        <v>706</v>
      </c>
      <c r="AA21" s="151">
        <v>76650</v>
      </c>
      <c r="AB21" s="151">
        <v>0</v>
      </c>
      <c r="AC21" s="146" t="s">
        <v>716</v>
      </c>
      <c r="AD21" s="146" t="s">
        <v>707</v>
      </c>
      <c r="AE21" s="146" t="s">
        <v>707</v>
      </c>
      <c r="AF21" s="146" t="s">
        <v>707</v>
      </c>
      <c r="AG21" s="146" t="s">
        <v>707</v>
      </c>
      <c r="AH21" s="146" t="s">
        <v>707</v>
      </c>
      <c r="AI21" s="146" t="s">
        <v>707</v>
      </c>
      <c r="AJ21" s="146" t="s">
        <v>707</v>
      </c>
      <c r="AK21" s="146" t="s">
        <v>707</v>
      </c>
      <c r="AL21" s="146" t="s">
        <v>707</v>
      </c>
    </row>
    <row r="22" spans="1:38" x14ac:dyDescent="0.35">
      <c r="A22" s="142">
        <v>20</v>
      </c>
      <c r="B22" s="146" t="s">
        <v>808</v>
      </c>
      <c r="C22" s="171" t="s">
        <v>809</v>
      </c>
      <c r="D22" s="146" t="s">
        <v>321</v>
      </c>
      <c r="E22" s="146" t="s">
        <v>802</v>
      </c>
      <c r="F22" s="146">
        <v>999317107</v>
      </c>
      <c r="G22" s="146" t="s">
        <v>697</v>
      </c>
      <c r="H22" s="146" t="s">
        <v>810</v>
      </c>
      <c r="I22" s="146" t="s">
        <v>321</v>
      </c>
      <c r="J22" s="146" t="s">
        <v>697</v>
      </c>
      <c r="K22" s="146" t="s">
        <v>697</v>
      </c>
      <c r="L22" s="146" t="s">
        <v>321</v>
      </c>
      <c r="M22" s="146" t="s">
        <v>811</v>
      </c>
      <c r="N22" s="147">
        <v>2</v>
      </c>
      <c r="O22" s="148">
        <v>41965</v>
      </c>
      <c r="P22" s="148">
        <v>40140</v>
      </c>
      <c r="Q22" s="146" t="s">
        <v>700</v>
      </c>
      <c r="R22" s="149">
        <v>2.5</v>
      </c>
      <c r="S22" s="146" t="s">
        <v>697</v>
      </c>
      <c r="T22" s="146" t="s">
        <v>812</v>
      </c>
      <c r="U22" s="146" t="s">
        <v>792</v>
      </c>
      <c r="V22" s="146" t="s">
        <v>697</v>
      </c>
      <c r="W22" s="146" t="s">
        <v>704</v>
      </c>
      <c r="X22" s="146" t="s">
        <v>734</v>
      </c>
      <c r="Y22" s="146" t="s">
        <v>705</v>
      </c>
      <c r="Z22" s="146" t="s">
        <v>706</v>
      </c>
      <c r="AA22" s="151">
        <v>76650</v>
      </c>
      <c r="AB22" s="151">
        <v>0</v>
      </c>
      <c r="AC22" s="146" t="s">
        <v>716</v>
      </c>
      <c r="AD22" s="146" t="s">
        <v>707</v>
      </c>
      <c r="AE22" s="146" t="s">
        <v>707</v>
      </c>
      <c r="AF22" s="146" t="s">
        <v>707</v>
      </c>
      <c r="AG22" s="146" t="s">
        <v>707</v>
      </c>
      <c r="AH22" s="146" t="s">
        <v>707</v>
      </c>
      <c r="AI22" s="146" t="s">
        <v>707</v>
      </c>
      <c r="AJ22" s="146" t="s">
        <v>707</v>
      </c>
      <c r="AK22" s="146" t="s">
        <v>707</v>
      </c>
      <c r="AL22" s="146" t="s">
        <v>707</v>
      </c>
    </row>
    <row r="23" spans="1:38" x14ac:dyDescent="0.35">
      <c r="A23" s="142">
        <v>21</v>
      </c>
      <c r="B23" s="146" t="s">
        <v>808</v>
      </c>
      <c r="C23" s="171" t="s">
        <v>813</v>
      </c>
      <c r="D23" s="146" t="s">
        <v>321</v>
      </c>
      <c r="E23" s="146" t="s">
        <v>802</v>
      </c>
      <c r="F23" s="146">
        <v>999317107</v>
      </c>
      <c r="G23" s="146" t="s">
        <v>697</v>
      </c>
      <c r="H23" s="146" t="s">
        <v>814</v>
      </c>
      <c r="I23" s="146" t="s">
        <v>321</v>
      </c>
      <c r="J23" s="146" t="s">
        <v>697</v>
      </c>
      <c r="K23" s="146" t="s">
        <v>697</v>
      </c>
      <c r="L23" s="146" t="s">
        <v>321</v>
      </c>
      <c r="M23" s="146" t="s">
        <v>815</v>
      </c>
      <c r="N23" s="147">
        <v>2</v>
      </c>
      <c r="O23" s="148">
        <v>41965</v>
      </c>
      <c r="P23" s="148">
        <v>40140</v>
      </c>
      <c r="Q23" s="146" t="s">
        <v>700</v>
      </c>
      <c r="R23" s="149">
        <v>5</v>
      </c>
      <c r="S23" s="146" t="s">
        <v>697</v>
      </c>
      <c r="T23" s="146" t="s">
        <v>816</v>
      </c>
      <c r="U23" s="146" t="s">
        <v>792</v>
      </c>
      <c r="V23" s="146" t="s">
        <v>697</v>
      </c>
      <c r="W23" s="146" t="s">
        <v>704</v>
      </c>
      <c r="X23" s="146" t="s">
        <v>734</v>
      </c>
      <c r="Y23" s="146" t="s">
        <v>705</v>
      </c>
      <c r="Z23" s="146" t="s">
        <v>706</v>
      </c>
      <c r="AA23" s="151">
        <v>76650</v>
      </c>
      <c r="AB23" s="151">
        <v>0</v>
      </c>
      <c r="AC23" s="146" t="s">
        <v>716</v>
      </c>
      <c r="AD23" s="146" t="s">
        <v>707</v>
      </c>
      <c r="AE23" s="146" t="s">
        <v>707</v>
      </c>
      <c r="AF23" s="146" t="s">
        <v>707</v>
      </c>
      <c r="AG23" s="146" t="s">
        <v>707</v>
      </c>
      <c r="AH23" s="146" t="s">
        <v>707</v>
      </c>
      <c r="AI23" s="146" t="s">
        <v>707</v>
      </c>
      <c r="AJ23" s="146" t="s">
        <v>707</v>
      </c>
      <c r="AK23" s="146" t="s">
        <v>707</v>
      </c>
      <c r="AL23" s="146" t="s">
        <v>707</v>
      </c>
    </row>
    <row r="24" spans="1:38" x14ac:dyDescent="0.35">
      <c r="A24" s="142">
        <v>22</v>
      </c>
      <c r="B24" s="146" t="s">
        <v>817</v>
      </c>
      <c r="C24" s="146" t="s">
        <v>818</v>
      </c>
      <c r="D24" s="146" t="s">
        <v>767</v>
      </c>
      <c r="E24" s="146" t="s">
        <v>697</v>
      </c>
      <c r="F24" s="146" t="s">
        <v>697</v>
      </c>
      <c r="G24" s="146" t="s">
        <v>697</v>
      </c>
      <c r="H24" s="146" t="s">
        <v>819</v>
      </c>
      <c r="I24" s="146" t="s">
        <v>767</v>
      </c>
      <c r="J24" s="146" t="s">
        <v>697</v>
      </c>
      <c r="K24" s="146" t="s">
        <v>697</v>
      </c>
      <c r="L24" s="146" t="s">
        <v>767</v>
      </c>
      <c r="M24" s="146" t="s">
        <v>820</v>
      </c>
      <c r="N24" s="147">
        <v>2</v>
      </c>
      <c r="O24" s="148">
        <v>41965</v>
      </c>
      <c r="P24" s="148">
        <v>40140</v>
      </c>
      <c r="Q24" s="146" t="s">
        <v>700</v>
      </c>
      <c r="R24" s="149">
        <v>1.8</v>
      </c>
      <c r="S24" s="146" t="s">
        <v>697</v>
      </c>
      <c r="T24" s="146" t="s">
        <v>821</v>
      </c>
      <c r="U24" s="146" t="s">
        <v>792</v>
      </c>
      <c r="V24" s="146" t="s">
        <v>697</v>
      </c>
      <c r="W24" s="146" t="s">
        <v>704</v>
      </c>
      <c r="X24" s="146" t="s">
        <v>734</v>
      </c>
      <c r="Y24" s="146" t="s">
        <v>705</v>
      </c>
      <c r="Z24" s="146" t="s">
        <v>706</v>
      </c>
      <c r="AA24" s="151">
        <v>76650</v>
      </c>
      <c r="AB24" s="151">
        <v>200000</v>
      </c>
      <c r="AC24" s="146" t="s">
        <v>716</v>
      </c>
      <c r="AD24" s="146" t="s">
        <v>716</v>
      </c>
      <c r="AE24" s="146" t="s">
        <v>707</v>
      </c>
      <c r="AF24" s="146" t="s">
        <v>707</v>
      </c>
      <c r="AG24" s="146" t="s">
        <v>707</v>
      </c>
      <c r="AH24" s="146" t="s">
        <v>707</v>
      </c>
      <c r="AI24" s="146" t="s">
        <v>707</v>
      </c>
      <c r="AJ24" s="146" t="s">
        <v>707</v>
      </c>
      <c r="AK24" s="146" t="s">
        <v>707</v>
      </c>
      <c r="AL24" s="146" t="s">
        <v>707</v>
      </c>
    </row>
    <row r="25" spans="1:38" x14ac:dyDescent="0.35">
      <c r="A25" s="142">
        <v>23</v>
      </c>
      <c r="B25" s="146" t="s">
        <v>822</v>
      </c>
      <c r="C25" s="146" t="s">
        <v>823</v>
      </c>
      <c r="D25" s="146" t="s">
        <v>773</v>
      </c>
      <c r="E25" s="146" t="s">
        <v>824</v>
      </c>
      <c r="F25" s="146">
        <v>999768295</v>
      </c>
      <c r="G25" s="146" t="s">
        <v>697</v>
      </c>
      <c r="H25" s="146" t="s">
        <v>788</v>
      </c>
      <c r="I25" s="146" t="s">
        <v>775</v>
      </c>
      <c r="J25" s="146" t="s">
        <v>697</v>
      </c>
      <c r="K25" s="146" t="s">
        <v>697</v>
      </c>
      <c r="L25" s="146" t="s">
        <v>775</v>
      </c>
      <c r="M25" s="146" t="s">
        <v>825</v>
      </c>
      <c r="N25" s="147">
        <v>2</v>
      </c>
      <c r="O25" s="148">
        <v>40987</v>
      </c>
      <c r="P25" s="148">
        <v>39161</v>
      </c>
      <c r="Q25" s="146" t="s">
        <v>700</v>
      </c>
      <c r="R25" s="149">
        <v>144</v>
      </c>
      <c r="S25" s="146" t="s">
        <v>697</v>
      </c>
      <c r="T25" s="146" t="s">
        <v>782</v>
      </c>
      <c r="U25" s="146" t="s">
        <v>826</v>
      </c>
      <c r="V25" s="146" t="s">
        <v>697</v>
      </c>
      <c r="W25" s="146" t="s">
        <v>704</v>
      </c>
      <c r="X25" s="146" t="s">
        <v>734</v>
      </c>
      <c r="Y25" s="146" t="s">
        <v>725</v>
      </c>
      <c r="Z25" s="146" t="s">
        <v>706</v>
      </c>
      <c r="AA25" s="151">
        <v>148701</v>
      </c>
      <c r="AB25" s="151">
        <v>0</v>
      </c>
      <c r="AC25" s="146" t="s">
        <v>716</v>
      </c>
      <c r="AD25" s="146" t="s">
        <v>707</v>
      </c>
      <c r="AE25" s="146" t="s">
        <v>707</v>
      </c>
      <c r="AF25" s="146" t="s">
        <v>707</v>
      </c>
      <c r="AG25" s="146" t="s">
        <v>707</v>
      </c>
      <c r="AH25" s="146" t="s">
        <v>707</v>
      </c>
      <c r="AI25" s="146" t="s">
        <v>707</v>
      </c>
      <c r="AJ25" s="146" t="s">
        <v>707</v>
      </c>
      <c r="AK25" s="146" t="s">
        <v>707</v>
      </c>
      <c r="AL25" s="146" t="s">
        <v>707</v>
      </c>
    </row>
    <row r="26" spans="1:38" x14ac:dyDescent="0.35">
      <c r="A26" s="142">
        <v>24</v>
      </c>
      <c r="B26" s="153" t="s">
        <v>822</v>
      </c>
      <c r="C26" s="153" t="s">
        <v>827</v>
      </c>
      <c r="D26" s="153" t="s">
        <v>773</v>
      </c>
      <c r="E26" s="153" t="s">
        <v>824</v>
      </c>
      <c r="F26" s="153">
        <v>999768295</v>
      </c>
      <c r="G26" s="153" t="s">
        <v>697</v>
      </c>
      <c r="H26" s="153" t="s">
        <v>788</v>
      </c>
      <c r="I26" s="153" t="s">
        <v>775</v>
      </c>
      <c r="J26" s="153" t="s">
        <v>697</v>
      </c>
      <c r="K26" s="153" t="s">
        <v>697</v>
      </c>
      <c r="L26" s="153" t="s">
        <v>775</v>
      </c>
      <c r="M26" s="153" t="s">
        <v>828</v>
      </c>
      <c r="N26" s="154">
        <v>2</v>
      </c>
      <c r="O26" s="155">
        <v>40987</v>
      </c>
      <c r="P26" s="155">
        <v>39161</v>
      </c>
      <c r="Q26" s="153" t="s">
        <v>700</v>
      </c>
      <c r="R26" s="156">
        <v>80</v>
      </c>
      <c r="S26" s="153" t="s">
        <v>697</v>
      </c>
      <c r="T26" s="153" t="s">
        <v>782</v>
      </c>
      <c r="U26" s="153" t="s">
        <v>826</v>
      </c>
      <c r="V26" s="153" t="s">
        <v>697</v>
      </c>
      <c r="W26" s="153" t="s">
        <v>704</v>
      </c>
      <c r="X26" s="153" t="s">
        <v>734</v>
      </c>
      <c r="Y26" s="153" t="s">
        <v>725</v>
      </c>
      <c r="Z26" s="153" t="s">
        <v>706</v>
      </c>
      <c r="AA26" s="157">
        <v>99645</v>
      </c>
      <c r="AB26" s="157">
        <v>0</v>
      </c>
      <c r="AC26" s="153" t="s">
        <v>716</v>
      </c>
      <c r="AD26" s="153" t="s">
        <v>707</v>
      </c>
      <c r="AE26" s="153" t="s">
        <v>707</v>
      </c>
      <c r="AF26" s="153" t="s">
        <v>707</v>
      </c>
      <c r="AG26" s="153" t="s">
        <v>707</v>
      </c>
      <c r="AH26" s="153" t="s">
        <v>707</v>
      </c>
      <c r="AI26" s="153" t="s">
        <v>707</v>
      </c>
      <c r="AJ26" s="153" t="s">
        <v>707</v>
      </c>
      <c r="AK26" s="153" t="s">
        <v>707</v>
      </c>
      <c r="AL26" s="153" t="s">
        <v>707</v>
      </c>
    </row>
    <row r="27" spans="1:38" x14ac:dyDescent="0.35">
      <c r="A27" s="142">
        <v>25</v>
      </c>
      <c r="B27" s="146" t="s">
        <v>822</v>
      </c>
      <c r="C27" s="146" t="s">
        <v>829</v>
      </c>
      <c r="D27" s="146" t="s">
        <v>773</v>
      </c>
      <c r="E27" s="146" t="s">
        <v>824</v>
      </c>
      <c r="F27" s="146">
        <v>999768295</v>
      </c>
      <c r="G27" s="146" t="s">
        <v>697</v>
      </c>
      <c r="H27" s="146" t="s">
        <v>788</v>
      </c>
      <c r="I27" s="146" t="s">
        <v>775</v>
      </c>
      <c r="J27" s="146" t="s">
        <v>697</v>
      </c>
      <c r="K27" s="146" t="s">
        <v>697</v>
      </c>
      <c r="L27" s="146" t="s">
        <v>775</v>
      </c>
      <c r="M27" s="146" t="s">
        <v>830</v>
      </c>
      <c r="N27" s="147">
        <v>2</v>
      </c>
      <c r="O27" s="148">
        <v>40987</v>
      </c>
      <c r="P27" s="148">
        <v>39161</v>
      </c>
      <c r="Q27" s="146" t="s">
        <v>700</v>
      </c>
      <c r="R27" s="149">
        <v>144</v>
      </c>
      <c r="S27" s="146" t="s">
        <v>697</v>
      </c>
      <c r="T27" s="146" t="s">
        <v>782</v>
      </c>
      <c r="U27" s="146" t="s">
        <v>826</v>
      </c>
      <c r="V27" s="146" t="s">
        <v>697</v>
      </c>
      <c r="W27" s="146" t="s">
        <v>704</v>
      </c>
      <c r="X27" s="146" t="s">
        <v>734</v>
      </c>
      <c r="Y27" s="146" t="s">
        <v>705</v>
      </c>
      <c r="Z27" s="146" t="s">
        <v>706</v>
      </c>
      <c r="AA27" s="151">
        <v>148701</v>
      </c>
      <c r="AB27" s="151">
        <v>0</v>
      </c>
      <c r="AC27" s="146" t="s">
        <v>716</v>
      </c>
      <c r="AD27" s="146" t="s">
        <v>707</v>
      </c>
      <c r="AE27" s="146" t="s">
        <v>707</v>
      </c>
      <c r="AF27" s="146" t="s">
        <v>707</v>
      </c>
      <c r="AG27" s="146" t="s">
        <v>707</v>
      </c>
      <c r="AH27" s="146" t="s">
        <v>707</v>
      </c>
      <c r="AI27" s="146" t="s">
        <v>707</v>
      </c>
      <c r="AJ27" s="146" t="s">
        <v>707</v>
      </c>
      <c r="AK27" s="146" t="s">
        <v>707</v>
      </c>
      <c r="AL27" s="146" t="s">
        <v>707</v>
      </c>
    </row>
    <row r="28" spans="1:38" x14ac:dyDescent="0.35">
      <c r="A28" s="142">
        <v>26</v>
      </c>
      <c r="B28" s="146" t="s">
        <v>822</v>
      </c>
      <c r="C28" s="146" t="s">
        <v>831</v>
      </c>
      <c r="D28" s="146" t="s">
        <v>773</v>
      </c>
      <c r="E28" s="146" t="s">
        <v>824</v>
      </c>
      <c r="F28" s="146">
        <v>999768295</v>
      </c>
      <c r="G28" s="146" t="s">
        <v>697</v>
      </c>
      <c r="H28" s="146" t="s">
        <v>788</v>
      </c>
      <c r="I28" s="146" t="s">
        <v>775</v>
      </c>
      <c r="J28" s="146" t="s">
        <v>697</v>
      </c>
      <c r="K28" s="146" t="s">
        <v>697</v>
      </c>
      <c r="L28" s="146" t="s">
        <v>775</v>
      </c>
      <c r="M28" s="146" t="s">
        <v>832</v>
      </c>
      <c r="N28" s="147">
        <v>2</v>
      </c>
      <c r="O28" s="148">
        <v>42468</v>
      </c>
      <c r="P28" s="148">
        <v>40609</v>
      </c>
      <c r="Q28" s="146" t="s">
        <v>700</v>
      </c>
      <c r="R28" s="149">
        <v>8890</v>
      </c>
      <c r="S28" s="146" t="s">
        <v>697</v>
      </c>
      <c r="T28" s="146" t="s">
        <v>782</v>
      </c>
      <c r="U28" s="146" t="s">
        <v>833</v>
      </c>
      <c r="V28" s="146" t="s">
        <v>697</v>
      </c>
      <c r="W28" s="146" t="s">
        <v>704</v>
      </c>
      <c r="X28" s="146" t="s">
        <v>734</v>
      </c>
      <c r="Y28" s="146" t="s">
        <v>834</v>
      </c>
      <c r="Z28" s="146" t="s">
        <v>706</v>
      </c>
      <c r="AA28" s="151">
        <v>5396545.8300000001</v>
      </c>
      <c r="AB28" s="151">
        <v>0</v>
      </c>
      <c r="AC28" s="146" t="s">
        <v>716</v>
      </c>
      <c r="AD28" s="146" t="s">
        <v>707</v>
      </c>
      <c r="AE28" s="146" t="s">
        <v>707</v>
      </c>
      <c r="AF28" s="146" t="s">
        <v>707</v>
      </c>
      <c r="AG28" s="146" t="s">
        <v>707</v>
      </c>
      <c r="AH28" s="146" t="s">
        <v>707</v>
      </c>
      <c r="AI28" s="146" t="s">
        <v>707</v>
      </c>
      <c r="AJ28" s="146" t="s">
        <v>707</v>
      </c>
      <c r="AK28" s="146" t="s">
        <v>707</v>
      </c>
      <c r="AL28" s="146" t="s">
        <v>707</v>
      </c>
    </row>
    <row r="29" spans="1:38" x14ac:dyDescent="0.35">
      <c r="A29" s="142">
        <v>27</v>
      </c>
      <c r="B29" s="146" t="s">
        <v>822</v>
      </c>
      <c r="C29" s="146" t="s">
        <v>835</v>
      </c>
      <c r="D29" s="146" t="s">
        <v>773</v>
      </c>
      <c r="E29" s="146" t="s">
        <v>824</v>
      </c>
      <c r="F29" s="146">
        <v>999768295</v>
      </c>
      <c r="G29" s="146" t="s">
        <v>697</v>
      </c>
      <c r="H29" s="146" t="s">
        <v>788</v>
      </c>
      <c r="I29" s="146" t="s">
        <v>775</v>
      </c>
      <c r="J29" s="146" t="s">
        <v>697</v>
      </c>
      <c r="K29" s="146" t="s">
        <v>697</v>
      </c>
      <c r="L29" s="146" t="s">
        <v>775</v>
      </c>
      <c r="M29" s="146" t="s">
        <v>836</v>
      </c>
      <c r="N29" s="147">
        <v>2</v>
      </c>
      <c r="O29" s="148">
        <v>40987</v>
      </c>
      <c r="P29" s="148">
        <v>39161</v>
      </c>
      <c r="Q29" s="146" t="s">
        <v>700</v>
      </c>
      <c r="R29" s="149">
        <v>144</v>
      </c>
      <c r="S29" s="146" t="s">
        <v>697</v>
      </c>
      <c r="T29" s="146" t="s">
        <v>837</v>
      </c>
      <c r="U29" s="146" t="s">
        <v>826</v>
      </c>
      <c r="V29" s="146" t="s">
        <v>697</v>
      </c>
      <c r="W29" s="146" t="s">
        <v>704</v>
      </c>
      <c r="X29" s="146" t="s">
        <v>734</v>
      </c>
      <c r="Y29" s="146" t="s">
        <v>705</v>
      </c>
      <c r="Z29" s="146" t="s">
        <v>706</v>
      </c>
      <c r="AA29" s="151">
        <v>148701</v>
      </c>
      <c r="AB29" s="151">
        <v>0</v>
      </c>
      <c r="AC29" s="146" t="s">
        <v>716</v>
      </c>
      <c r="AD29" s="146" t="s">
        <v>707</v>
      </c>
      <c r="AE29" s="146" t="s">
        <v>707</v>
      </c>
      <c r="AF29" s="146" t="s">
        <v>707</v>
      </c>
      <c r="AG29" s="146" t="s">
        <v>707</v>
      </c>
      <c r="AH29" s="146" t="s">
        <v>707</v>
      </c>
      <c r="AI29" s="146" t="s">
        <v>707</v>
      </c>
      <c r="AJ29" s="146" t="s">
        <v>707</v>
      </c>
      <c r="AK29" s="146" t="s">
        <v>707</v>
      </c>
      <c r="AL29" s="146" t="s">
        <v>707</v>
      </c>
    </row>
    <row r="30" spans="1:38" x14ac:dyDescent="0.35">
      <c r="A30" s="142">
        <v>28</v>
      </c>
      <c r="B30" s="146" t="s">
        <v>822</v>
      </c>
      <c r="C30" s="146" t="s">
        <v>838</v>
      </c>
      <c r="D30" s="146" t="s">
        <v>773</v>
      </c>
      <c r="E30" s="146" t="s">
        <v>824</v>
      </c>
      <c r="F30" s="146">
        <v>999768295</v>
      </c>
      <c r="G30" s="146" t="s">
        <v>697</v>
      </c>
      <c r="H30" s="146" t="s">
        <v>788</v>
      </c>
      <c r="I30" s="146" t="s">
        <v>775</v>
      </c>
      <c r="J30" s="146" t="s">
        <v>697</v>
      </c>
      <c r="K30" s="146" t="s">
        <v>697</v>
      </c>
      <c r="L30" s="146" t="s">
        <v>775</v>
      </c>
      <c r="M30" s="146" t="s">
        <v>839</v>
      </c>
      <c r="N30" s="147">
        <v>2</v>
      </c>
      <c r="O30" s="148">
        <v>40987</v>
      </c>
      <c r="P30" s="148">
        <v>39161</v>
      </c>
      <c r="Q30" s="146" t="s">
        <v>700</v>
      </c>
      <c r="R30" s="149">
        <v>144</v>
      </c>
      <c r="S30" s="146" t="s">
        <v>697</v>
      </c>
      <c r="T30" s="146" t="s">
        <v>782</v>
      </c>
      <c r="U30" s="146" t="s">
        <v>826</v>
      </c>
      <c r="V30" s="146" t="s">
        <v>697</v>
      </c>
      <c r="W30" s="146" t="s">
        <v>704</v>
      </c>
      <c r="X30" s="146" t="s">
        <v>734</v>
      </c>
      <c r="Y30" s="146" t="s">
        <v>705</v>
      </c>
      <c r="Z30" s="146" t="s">
        <v>706</v>
      </c>
      <c r="AA30" s="151">
        <v>148701</v>
      </c>
      <c r="AB30" s="151">
        <v>0</v>
      </c>
      <c r="AC30" s="146" t="s">
        <v>716</v>
      </c>
      <c r="AD30" s="146" t="s">
        <v>707</v>
      </c>
      <c r="AE30" s="146" t="s">
        <v>707</v>
      </c>
      <c r="AF30" s="146" t="s">
        <v>707</v>
      </c>
      <c r="AG30" s="146" t="s">
        <v>707</v>
      </c>
      <c r="AH30" s="146" t="s">
        <v>707</v>
      </c>
      <c r="AI30" s="146" t="s">
        <v>707</v>
      </c>
      <c r="AJ30" s="146" t="s">
        <v>707</v>
      </c>
      <c r="AK30" s="146" t="s">
        <v>707</v>
      </c>
      <c r="AL30" s="146" t="s">
        <v>707</v>
      </c>
    </row>
    <row r="31" spans="1:38" x14ac:dyDescent="0.35">
      <c r="A31" s="142">
        <v>29</v>
      </c>
      <c r="B31" s="146" t="s">
        <v>822</v>
      </c>
      <c r="C31" s="146" t="s">
        <v>840</v>
      </c>
      <c r="D31" s="146" t="s">
        <v>773</v>
      </c>
      <c r="E31" s="146" t="s">
        <v>824</v>
      </c>
      <c r="F31" s="146">
        <v>999768295</v>
      </c>
      <c r="G31" s="146" t="s">
        <v>697</v>
      </c>
      <c r="H31" s="146" t="s">
        <v>788</v>
      </c>
      <c r="I31" s="146" t="s">
        <v>775</v>
      </c>
      <c r="J31" s="146" t="s">
        <v>697</v>
      </c>
      <c r="K31" s="146" t="s">
        <v>697</v>
      </c>
      <c r="L31" s="146" t="s">
        <v>775</v>
      </c>
      <c r="M31" s="146" t="s">
        <v>841</v>
      </c>
      <c r="N31" s="147">
        <v>2</v>
      </c>
      <c r="O31" s="148">
        <v>40987</v>
      </c>
      <c r="P31" s="148">
        <v>39161</v>
      </c>
      <c r="Q31" s="146" t="s">
        <v>700</v>
      </c>
      <c r="R31" s="149">
        <v>320</v>
      </c>
      <c r="S31" s="146" t="s">
        <v>697</v>
      </c>
      <c r="T31" s="146" t="s">
        <v>782</v>
      </c>
      <c r="U31" s="146" t="s">
        <v>826</v>
      </c>
      <c r="V31" s="146" t="s">
        <v>697</v>
      </c>
      <c r="W31" s="146" t="s">
        <v>704</v>
      </c>
      <c r="X31" s="146" t="s">
        <v>734</v>
      </c>
      <c r="Y31" s="146" t="s">
        <v>705</v>
      </c>
      <c r="Z31" s="146" t="s">
        <v>706</v>
      </c>
      <c r="AA31" s="172">
        <v>240170</v>
      </c>
      <c r="AB31" s="172">
        <v>0</v>
      </c>
      <c r="AC31" s="146" t="s">
        <v>716</v>
      </c>
      <c r="AD31" s="146" t="s">
        <v>707</v>
      </c>
      <c r="AE31" s="146" t="s">
        <v>707</v>
      </c>
      <c r="AF31" s="146" t="s">
        <v>707</v>
      </c>
      <c r="AG31" s="146" t="s">
        <v>707</v>
      </c>
      <c r="AH31" s="146" t="s">
        <v>707</v>
      </c>
      <c r="AI31" s="146" t="s">
        <v>707</v>
      </c>
      <c r="AJ31" s="146" t="s">
        <v>707</v>
      </c>
      <c r="AK31" s="146" t="s">
        <v>707</v>
      </c>
      <c r="AL31" s="146" t="s">
        <v>707</v>
      </c>
    </row>
    <row r="32" spans="1:38" x14ac:dyDescent="0.35">
      <c r="A32" s="142">
        <v>30</v>
      </c>
      <c r="B32" s="146" t="s">
        <v>822</v>
      </c>
      <c r="C32" s="146" t="s">
        <v>842</v>
      </c>
      <c r="D32" s="146" t="s">
        <v>773</v>
      </c>
      <c r="E32" s="146" t="s">
        <v>824</v>
      </c>
      <c r="F32" s="146">
        <v>999768296</v>
      </c>
      <c r="G32" s="146" t="s">
        <v>697</v>
      </c>
      <c r="H32" s="146" t="s">
        <v>788</v>
      </c>
      <c r="I32" s="146" t="s">
        <v>775</v>
      </c>
      <c r="J32" s="146" t="s">
        <v>697</v>
      </c>
      <c r="K32" s="146" t="s">
        <v>697</v>
      </c>
      <c r="L32" s="146" t="s">
        <v>775</v>
      </c>
      <c r="M32" s="146" t="s">
        <v>843</v>
      </c>
      <c r="N32" s="147">
        <v>2</v>
      </c>
      <c r="O32" s="148">
        <v>40987</v>
      </c>
      <c r="P32" s="148">
        <v>39161</v>
      </c>
      <c r="Q32" s="146" t="s">
        <v>700</v>
      </c>
      <c r="R32" s="149">
        <v>320</v>
      </c>
      <c r="S32" s="146" t="s">
        <v>697</v>
      </c>
      <c r="T32" s="146" t="s">
        <v>782</v>
      </c>
      <c r="U32" s="146" t="s">
        <v>826</v>
      </c>
      <c r="V32" s="146" t="s">
        <v>697</v>
      </c>
      <c r="W32" s="146" t="s">
        <v>704</v>
      </c>
      <c r="X32" s="146" t="s">
        <v>734</v>
      </c>
      <c r="Y32" s="146" t="s">
        <v>705</v>
      </c>
      <c r="Z32" s="146" t="s">
        <v>706</v>
      </c>
      <c r="AA32" s="172">
        <v>240170</v>
      </c>
      <c r="AB32" s="172">
        <v>0</v>
      </c>
      <c r="AC32" s="146" t="s">
        <v>716</v>
      </c>
      <c r="AD32" s="146" t="s">
        <v>707</v>
      </c>
      <c r="AE32" s="146" t="s">
        <v>707</v>
      </c>
      <c r="AF32" s="146" t="s">
        <v>707</v>
      </c>
      <c r="AG32" s="146" t="s">
        <v>707</v>
      </c>
      <c r="AH32" s="146" t="s">
        <v>707</v>
      </c>
      <c r="AI32" s="146" t="s">
        <v>707</v>
      </c>
      <c r="AJ32" s="146" t="s">
        <v>707</v>
      </c>
      <c r="AK32" s="146" t="s">
        <v>707</v>
      </c>
      <c r="AL32" s="146" t="s">
        <v>707</v>
      </c>
    </row>
    <row r="33" spans="1:38" x14ac:dyDescent="0.35">
      <c r="A33" s="142">
        <v>31</v>
      </c>
      <c r="B33" s="146" t="s">
        <v>822</v>
      </c>
      <c r="C33" s="146" t="s">
        <v>844</v>
      </c>
      <c r="D33" s="146" t="s">
        <v>773</v>
      </c>
      <c r="E33" s="146" t="s">
        <v>824</v>
      </c>
      <c r="F33" s="146">
        <v>999768297</v>
      </c>
      <c r="G33" s="146" t="s">
        <v>697</v>
      </c>
      <c r="H33" s="146" t="s">
        <v>788</v>
      </c>
      <c r="I33" s="146" t="s">
        <v>775</v>
      </c>
      <c r="J33" s="146" t="s">
        <v>697</v>
      </c>
      <c r="K33" s="146" t="s">
        <v>697</v>
      </c>
      <c r="L33" s="146" t="s">
        <v>775</v>
      </c>
      <c r="M33" s="146" t="s">
        <v>845</v>
      </c>
      <c r="N33" s="147">
        <v>2</v>
      </c>
      <c r="O33" s="148">
        <v>40987</v>
      </c>
      <c r="P33" s="148">
        <v>39161</v>
      </c>
      <c r="Q33" s="146" t="s">
        <v>700</v>
      </c>
      <c r="R33" s="149">
        <v>288</v>
      </c>
      <c r="S33" s="146" t="s">
        <v>697</v>
      </c>
      <c r="T33" s="146" t="s">
        <v>782</v>
      </c>
      <c r="U33" s="146" t="s">
        <v>826</v>
      </c>
      <c r="V33" s="146" t="s">
        <v>697</v>
      </c>
      <c r="W33" s="146" t="s">
        <v>704</v>
      </c>
      <c r="X33" s="146" t="s">
        <v>734</v>
      </c>
      <c r="Y33" s="146" t="s">
        <v>705</v>
      </c>
      <c r="Z33" s="146" t="s">
        <v>706</v>
      </c>
      <c r="AA33" s="172">
        <v>223818</v>
      </c>
      <c r="AB33" s="172">
        <v>0</v>
      </c>
      <c r="AC33" s="146" t="s">
        <v>716</v>
      </c>
      <c r="AD33" s="146" t="s">
        <v>707</v>
      </c>
      <c r="AE33" s="146" t="s">
        <v>707</v>
      </c>
      <c r="AF33" s="146" t="s">
        <v>707</v>
      </c>
      <c r="AG33" s="146" t="s">
        <v>707</v>
      </c>
      <c r="AH33" s="146" t="s">
        <v>707</v>
      </c>
      <c r="AI33" s="146" t="s">
        <v>707</v>
      </c>
      <c r="AJ33" s="146" t="s">
        <v>707</v>
      </c>
      <c r="AK33" s="146" t="s">
        <v>707</v>
      </c>
      <c r="AL33" s="146" t="s">
        <v>707</v>
      </c>
    </row>
    <row r="34" spans="1:38" x14ac:dyDescent="0.35">
      <c r="A34" s="142">
        <v>32</v>
      </c>
      <c r="B34" s="153" t="s">
        <v>822</v>
      </c>
      <c r="C34" s="153" t="s">
        <v>846</v>
      </c>
      <c r="D34" s="153" t="s">
        <v>773</v>
      </c>
      <c r="E34" s="153" t="s">
        <v>824</v>
      </c>
      <c r="F34" s="153">
        <v>999768298</v>
      </c>
      <c r="G34" s="153" t="s">
        <v>697</v>
      </c>
      <c r="H34" s="153" t="s">
        <v>788</v>
      </c>
      <c r="I34" s="153" t="s">
        <v>775</v>
      </c>
      <c r="J34" s="153" t="s">
        <v>697</v>
      </c>
      <c r="K34" s="153" t="s">
        <v>697</v>
      </c>
      <c r="L34" s="153" t="s">
        <v>775</v>
      </c>
      <c r="M34" s="153" t="s">
        <v>847</v>
      </c>
      <c r="N34" s="154">
        <v>2</v>
      </c>
      <c r="O34" s="155">
        <v>40987</v>
      </c>
      <c r="P34" s="155">
        <v>39161</v>
      </c>
      <c r="Q34" s="153" t="s">
        <v>700</v>
      </c>
      <c r="R34" s="156">
        <v>70</v>
      </c>
      <c r="S34" s="153" t="s">
        <v>697</v>
      </c>
      <c r="T34" s="153" t="s">
        <v>782</v>
      </c>
      <c r="U34" s="153" t="s">
        <v>826</v>
      </c>
      <c r="V34" s="153" t="s">
        <v>697</v>
      </c>
      <c r="W34" s="153" t="s">
        <v>704</v>
      </c>
      <c r="X34" s="153" t="s">
        <v>734</v>
      </c>
      <c r="Y34" s="153" t="s">
        <v>705</v>
      </c>
      <c r="Z34" s="153" t="s">
        <v>706</v>
      </c>
      <c r="AA34" s="157">
        <v>91980</v>
      </c>
      <c r="AB34" s="157">
        <v>0</v>
      </c>
      <c r="AC34" s="153" t="s">
        <v>716</v>
      </c>
      <c r="AD34" s="153" t="s">
        <v>707</v>
      </c>
      <c r="AE34" s="153" t="s">
        <v>707</v>
      </c>
      <c r="AF34" s="153" t="s">
        <v>707</v>
      </c>
      <c r="AG34" s="153" t="s">
        <v>707</v>
      </c>
      <c r="AH34" s="153" t="s">
        <v>707</v>
      </c>
      <c r="AI34" s="153" t="s">
        <v>707</v>
      </c>
      <c r="AJ34" s="153" t="s">
        <v>707</v>
      </c>
      <c r="AK34" s="153" t="s">
        <v>707</v>
      </c>
      <c r="AL34" s="153" t="s">
        <v>707</v>
      </c>
    </row>
    <row r="35" spans="1:38" x14ac:dyDescent="0.35">
      <c r="A35" s="142">
        <v>33</v>
      </c>
      <c r="B35" s="153" t="s">
        <v>822</v>
      </c>
      <c r="C35" s="153" t="s">
        <v>848</v>
      </c>
      <c r="D35" s="153" t="s">
        <v>773</v>
      </c>
      <c r="E35" s="153" t="s">
        <v>824</v>
      </c>
      <c r="F35" s="153">
        <v>999768299</v>
      </c>
      <c r="G35" s="153" t="s">
        <v>697</v>
      </c>
      <c r="H35" s="153" t="s">
        <v>788</v>
      </c>
      <c r="I35" s="153" t="s">
        <v>775</v>
      </c>
      <c r="J35" s="153" t="s">
        <v>697</v>
      </c>
      <c r="K35" s="153" t="s">
        <v>697</v>
      </c>
      <c r="L35" s="153" t="s">
        <v>775</v>
      </c>
      <c r="M35" s="153" t="s">
        <v>849</v>
      </c>
      <c r="N35" s="154">
        <v>2</v>
      </c>
      <c r="O35" s="155">
        <v>40987</v>
      </c>
      <c r="P35" s="155">
        <v>39161</v>
      </c>
      <c r="Q35" s="153" t="s">
        <v>700</v>
      </c>
      <c r="R35" s="156">
        <v>320</v>
      </c>
      <c r="S35" s="153" t="s">
        <v>697</v>
      </c>
      <c r="T35" s="153" t="s">
        <v>782</v>
      </c>
      <c r="U35" s="153" t="s">
        <v>826</v>
      </c>
      <c r="V35" s="153" t="s">
        <v>697</v>
      </c>
      <c r="W35" s="153" t="s">
        <v>704</v>
      </c>
      <c r="X35" s="153" t="s">
        <v>734</v>
      </c>
      <c r="Y35" s="153" t="s">
        <v>705</v>
      </c>
      <c r="Z35" s="153" t="s">
        <v>706</v>
      </c>
      <c r="AA35" s="157">
        <v>240170</v>
      </c>
      <c r="AB35" s="157">
        <v>0</v>
      </c>
      <c r="AC35" s="153" t="s">
        <v>716</v>
      </c>
      <c r="AD35" s="153" t="s">
        <v>707</v>
      </c>
      <c r="AE35" s="153" t="s">
        <v>707</v>
      </c>
      <c r="AF35" s="153" t="s">
        <v>707</v>
      </c>
      <c r="AG35" s="153" t="s">
        <v>707</v>
      </c>
      <c r="AH35" s="153" t="s">
        <v>707</v>
      </c>
      <c r="AI35" s="153" t="s">
        <v>707</v>
      </c>
      <c r="AJ35" s="153" t="s">
        <v>707</v>
      </c>
      <c r="AK35" s="153" t="s">
        <v>707</v>
      </c>
      <c r="AL35" s="153" t="s">
        <v>707</v>
      </c>
    </row>
    <row r="36" spans="1:38" x14ac:dyDescent="0.35">
      <c r="A36" s="142">
        <v>34</v>
      </c>
      <c r="B36" s="153" t="s">
        <v>822</v>
      </c>
      <c r="C36" s="153" t="s">
        <v>823</v>
      </c>
      <c r="D36" s="153" t="s">
        <v>773</v>
      </c>
      <c r="E36" s="153" t="s">
        <v>824</v>
      </c>
      <c r="F36" s="153">
        <v>999768300</v>
      </c>
      <c r="G36" s="153" t="s">
        <v>697</v>
      </c>
      <c r="H36" s="153" t="s">
        <v>788</v>
      </c>
      <c r="I36" s="153" t="s">
        <v>775</v>
      </c>
      <c r="J36" s="153" t="s">
        <v>697</v>
      </c>
      <c r="K36" s="153" t="s">
        <v>697</v>
      </c>
      <c r="L36" s="153" t="s">
        <v>775</v>
      </c>
      <c r="M36" s="153" t="s">
        <v>850</v>
      </c>
      <c r="N36" s="154">
        <v>2</v>
      </c>
      <c r="O36" s="155">
        <v>40987</v>
      </c>
      <c r="P36" s="155">
        <v>39161</v>
      </c>
      <c r="Q36" s="153" t="s">
        <v>700</v>
      </c>
      <c r="R36" s="156">
        <v>33</v>
      </c>
      <c r="S36" s="153" t="s">
        <v>697</v>
      </c>
      <c r="T36" s="153" t="s">
        <v>782</v>
      </c>
      <c r="U36" s="153" t="s">
        <v>826</v>
      </c>
      <c r="V36" s="153" t="s">
        <v>697</v>
      </c>
      <c r="W36" s="153" t="s">
        <v>704</v>
      </c>
      <c r="X36" s="153" t="s">
        <v>734</v>
      </c>
      <c r="Y36" s="153" t="s">
        <v>705</v>
      </c>
      <c r="Z36" s="153" t="s">
        <v>706</v>
      </c>
      <c r="AA36" s="157">
        <v>76650</v>
      </c>
      <c r="AB36" s="157">
        <v>0</v>
      </c>
      <c r="AC36" s="153" t="s">
        <v>716</v>
      </c>
      <c r="AD36" s="153" t="s">
        <v>707</v>
      </c>
      <c r="AE36" s="153" t="s">
        <v>707</v>
      </c>
      <c r="AF36" s="153" t="s">
        <v>707</v>
      </c>
      <c r="AG36" s="153" t="s">
        <v>707</v>
      </c>
      <c r="AH36" s="153" t="s">
        <v>707</v>
      </c>
      <c r="AI36" s="153" t="s">
        <v>707</v>
      </c>
      <c r="AJ36" s="153" t="s">
        <v>707</v>
      </c>
      <c r="AK36" s="153" t="s">
        <v>707</v>
      </c>
      <c r="AL36" s="153" t="s">
        <v>707</v>
      </c>
    </row>
    <row r="37" spans="1:38" x14ac:dyDescent="0.35">
      <c r="A37" s="142">
        <v>35</v>
      </c>
      <c r="B37" s="153" t="s">
        <v>822</v>
      </c>
      <c r="C37" s="153" t="s">
        <v>851</v>
      </c>
      <c r="D37" s="153" t="s">
        <v>773</v>
      </c>
      <c r="E37" s="153" t="s">
        <v>824</v>
      </c>
      <c r="F37" s="153">
        <v>999768301</v>
      </c>
      <c r="G37" s="153" t="s">
        <v>697</v>
      </c>
      <c r="H37" s="153" t="s">
        <v>788</v>
      </c>
      <c r="I37" s="153" t="s">
        <v>775</v>
      </c>
      <c r="J37" s="153" t="s">
        <v>697</v>
      </c>
      <c r="K37" s="153" t="s">
        <v>697</v>
      </c>
      <c r="L37" s="153" t="s">
        <v>775</v>
      </c>
      <c r="M37" s="153" t="s">
        <v>852</v>
      </c>
      <c r="N37" s="154">
        <v>2</v>
      </c>
      <c r="O37" s="155">
        <v>40987</v>
      </c>
      <c r="P37" s="155">
        <v>39161</v>
      </c>
      <c r="Q37" s="153" t="s">
        <v>700</v>
      </c>
      <c r="R37" s="156">
        <v>83</v>
      </c>
      <c r="S37" s="153" t="s">
        <v>697</v>
      </c>
      <c r="T37" s="153" t="s">
        <v>782</v>
      </c>
      <c r="U37" s="153" t="s">
        <v>826</v>
      </c>
      <c r="V37" s="153" t="s">
        <v>697</v>
      </c>
      <c r="W37" s="153" t="s">
        <v>704</v>
      </c>
      <c r="X37" s="153" t="s">
        <v>734</v>
      </c>
      <c r="Y37" s="153" t="s">
        <v>705</v>
      </c>
      <c r="Z37" s="153" t="s">
        <v>706</v>
      </c>
      <c r="AA37" s="157">
        <v>101944.5</v>
      </c>
      <c r="AB37" s="157">
        <v>0</v>
      </c>
      <c r="AC37" s="153" t="s">
        <v>716</v>
      </c>
      <c r="AD37" s="153" t="s">
        <v>707</v>
      </c>
      <c r="AE37" s="153" t="s">
        <v>707</v>
      </c>
      <c r="AF37" s="153" t="s">
        <v>707</v>
      </c>
      <c r="AG37" s="153" t="s">
        <v>707</v>
      </c>
      <c r="AH37" s="153" t="s">
        <v>707</v>
      </c>
      <c r="AI37" s="153" t="s">
        <v>707</v>
      </c>
      <c r="AJ37" s="153" t="s">
        <v>707</v>
      </c>
      <c r="AK37" s="153" t="s">
        <v>707</v>
      </c>
      <c r="AL37" s="153" t="s">
        <v>707</v>
      </c>
    </row>
    <row r="38" spans="1:38" x14ac:dyDescent="0.35">
      <c r="A38" s="142">
        <v>36</v>
      </c>
      <c r="B38" s="153" t="s">
        <v>853</v>
      </c>
      <c r="C38" s="153" t="s">
        <v>851</v>
      </c>
      <c r="D38" s="153" t="s">
        <v>773</v>
      </c>
      <c r="E38" s="153" t="s">
        <v>824</v>
      </c>
      <c r="F38" s="153">
        <v>999768301</v>
      </c>
      <c r="G38" s="153" t="s">
        <v>697</v>
      </c>
      <c r="H38" s="153" t="s">
        <v>788</v>
      </c>
      <c r="I38" s="153" t="s">
        <v>775</v>
      </c>
      <c r="J38" s="153" t="s">
        <v>697</v>
      </c>
      <c r="K38" s="153" t="s">
        <v>697</v>
      </c>
      <c r="L38" s="153" t="s">
        <v>719</v>
      </c>
      <c r="M38" s="153" t="s">
        <v>854</v>
      </c>
      <c r="N38" s="154">
        <v>2</v>
      </c>
      <c r="O38" s="173">
        <v>39627</v>
      </c>
      <c r="P38" s="173">
        <v>37801</v>
      </c>
      <c r="Q38" s="153" t="s">
        <v>700</v>
      </c>
      <c r="R38" s="156">
        <v>600</v>
      </c>
      <c r="S38" s="153" t="s">
        <v>697</v>
      </c>
      <c r="T38" s="153" t="s">
        <v>855</v>
      </c>
      <c r="U38" s="153" t="s">
        <v>856</v>
      </c>
      <c r="V38" s="153" t="s">
        <v>697</v>
      </c>
      <c r="W38" s="153" t="s">
        <v>704</v>
      </c>
      <c r="X38" s="153" t="s">
        <v>734</v>
      </c>
      <c r="Y38" s="153" t="s">
        <v>705</v>
      </c>
      <c r="Z38" s="153" t="s">
        <v>706</v>
      </c>
      <c r="AA38" s="157">
        <v>364087.5</v>
      </c>
      <c r="AB38" s="157">
        <v>0</v>
      </c>
      <c r="AC38" s="153" t="s">
        <v>716</v>
      </c>
      <c r="AD38" s="153" t="s">
        <v>707</v>
      </c>
      <c r="AE38" s="153" t="s">
        <v>707</v>
      </c>
      <c r="AF38" s="153" t="s">
        <v>707</v>
      </c>
      <c r="AG38" s="153" t="s">
        <v>707</v>
      </c>
      <c r="AH38" s="153" t="s">
        <v>707</v>
      </c>
      <c r="AI38" s="153" t="s">
        <v>707</v>
      </c>
      <c r="AJ38" s="153" t="s">
        <v>707</v>
      </c>
      <c r="AK38" s="153" t="s">
        <v>707</v>
      </c>
      <c r="AL38" s="153" t="s">
        <v>707</v>
      </c>
    </row>
    <row r="39" spans="1:38" ht="116" x14ac:dyDescent="0.35">
      <c r="A39" s="142">
        <v>37</v>
      </c>
      <c r="B39" s="153" t="s">
        <v>857</v>
      </c>
      <c r="C39" s="153" t="s">
        <v>818</v>
      </c>
      <c r="D39" s="153" t="s">
        <v>767</v>
      </c>
      <c r="E39" s="153" t="s">
        <v>697</v>
      </c>
      <c r="F39" s="153" t="s">
        <v>697</v>
      </c>
      <c r="G39" s="153" t="s">
        <v>697</v>
      </c>
      <c r="H39" s="153" t="s">
        <v>819</v>
      </c>
      <c r="I39" s="153" t="s">
        <v>767</v>
      </c>
      <c r="J39" s="153" t="s">
        <v>697</v>
      </c>
      <c r="K39" s="153" t="s">
        <v>697</v>
      </c>
      <c r="L39" s="153" t="s">
        <v>767</v>
      </c>
      <c r="M39" s="153" t="s">
        <v>858</v>
      </c>
      <c r="N39" s="154">
        <v>2</v>
      </c>
      <c r="O39" s="173">
        <v>33418</v>
      </c>
      <c r="P39" s="173">
        <v>31593</v>
      </c>
      <c r="Q39" s="153" t="s">
        <v>700</v>
      </c>
      <c r="R39" s="156">
        <v>144</v>
      </c>
      <c r="S39" s="153" t="s">
        <v>697</v>
      </c>
      <c r="T39" s="153" t="s">
        <v>859</v>
      </c>
      <c r="U39" s="174" t="s">
        <v>860</v>
      </c>
      <c r="V39" s="153" t="s">
        <v>697</v>
      </c>
      <c r="W39" s="153" t="s">
        <v>704</v>
      </c>
      <c r="X39" s="153" t="s">
        <v>734</v>
      </c>
      <c r="Y39" s="153" t="s">
        <v>705</v>
      </c>
      <c r="Z39" s="153" t="s">
        <v>706</v>
      </c>
      <c r="AA39" s="157">
        <v>148701</v>
      </c>
      <c r="AB39" s="157">
        <v>200000</v>
      </c>
      <c r="AC39" s="153" t="s">
        <v>716</v>
      </c>
      <c r="AD39" s="153" t="s">
        <v>716</v>
      </c>
      <c r="AE39" s="153" t="s">
        <v>707</v>
      </c>
      <c r="AF39" s="153" t="s">
        <v>707</v>
      </c>
      <c r="AG39" s="153" t="s">
        <v>707</v>
      </c>
      <c r="AH39" s="153" t="s">
        <v>707</v>
      </c>
      <c r="AI39" s="153" t="s">
        <v>707</v>
      </c>
      <c r="AJ39" s="153" t="s">
        <v>707</v>
      </c>
      <c r="AK39" s="153" t="s">
        <v>707</v>
      </c>
      <c r="AL39" s="153" t="s">
        <v>707</v>
      </c>
    </row>
    <row r="40" spans="1:38" ht="116" x14ac:dyDescent="0.35">
      <c r="A40" s="142">
        <v>38</v>
      </c>
      <c r="B40" s="153" t="s">
        <v>861</v>
      </c>
      <c r="C40" s="153" t="s">
        <v>818</v>
      </c>
      <c r="D40" s="153" t="s">
        <v>767</v>
      </c>
      <c r="E40" s="153" t="s">
        <v>697</v>
      </c>
      <c r="F40" s="153" t="s">
        <v>697</v>
      </c>
      <c r="G40" s="153" t="s">
        <v>697</v>
      </c>
      <c r="H40" s="153" t="s">
        <v>819</v>
      </c>
      <c r="I40" s="153" t="s">
        <v>767</v>
      </c>
      <c r="J40" s="153" t="s">
        <v>697</v>
      </c>
      <c r="K40" s="153" t="s">
        <v>697</v>
      </c>
      <c r="L40" s="153" t="s">
        <v>767</v>
      </c>
      <c r="M40" s="153" t="s">
        <v>862</v>
      </c>
      <c r="N40" s="154">
        <v>2</v>
      </c>
      <c r="O40" s="173">
        <v>33418</v>
      </c>
      <c r="P40" s="173">
        <v>31593</v>
      </c>
      <c r="Q40" s="153" t="s">
        <v>700</v>
      </c>
      <c r="R40" s="156">
        <v>320</v>
      </c>
      <c r="S40" s="153" t="s">
        <v>697</v>
      </c>
      <c r="T40" s="153" t="s">
        <v>863</v>
      </c>
      <c r="U40" s="174" t="s">
        <v>860</v>
      </c>
      <c r="V40" s="153" t="s">
        <v>697</v>
      </c>
      <c r="W40" s="153" t="s">
        <v>704</v>
      </c>
      <c r="X40" s="153" t="s">
        <v>734</v>
      </c>
      <c r="Y40" s="153" t="s">
        <v>705</v>
      </c>
      <c r="Z40" s="153" t="s">
        <v>706</v>
      </c>
      <c r="AA40" s="157">
        <v>240170</v>
      </c>
      <c r="AB40" s="157">
        <v>200000</v>
      </c>
      <c r="AC40" s="153" t="s">
        <v>716</v>
      </c>
      <c r="AD40" s="153" t="s">
        <v>716</v>
      </c>
      <c r="AE40" s="153" t="s">
        <v>707</v>
      </c>
      <c r="AF40" s="153" t="s">
        <v>707</v>
      </c>
      <c r="AG40" s="153" t="s">
        <v>707</v>
      </c>
      <c r="AH40" s="153" t="s">
        <v>707</v>
      </c>
      <c r="AI40" s="153" t="s">
        <v>707</v>
      </c>
      <c r="AJ40" s="153" t="s">
        <v>707</v>
      </c>
      <c r="AK40" s="153" t="s">
        <v>707</v>
      </c>
      <c r="AL40" s="153" t="s">
        <v>707</v>
      </c>
    </row>
    <row r="41" spans="1:38" ht="116" x14ac:dyDescent="0.35">
      <c r="A41" s="142">
        <v>39</v>
      </c>
      <c r="B41" s="153" t="s">
        <v>864</v>
      </c>
      <c r="C41" s="153" t="s">
        <v>818</v>
      </c>
      <c r="D41" s="153" t="s">
        <v>767</v>
      </c>
      <c r="E41" s="153" t="s">
        <v>697</v>
      </c>
      <c r="F41" s="153" t="s">
        <v>697</v>
      </c>
      <c r="G41" s="153" t="s">
        <v>697</v>
      </c>
      <c r="H41" s="153" t="s">
        <v>819</v>
      </c>
      <c r="I41" s="153" t="s">
        <v>767</v>
      </c>
      <c r="J41" s="153" t="s">
        <v>697</v>
      </c>
      <c r="K41" s="153" t="s">
        <v>697</v>
      </c>
      <c r="L41" s="153" t="s">
        <v>767</v>
      </c>
      <c r="M41" s="153" t="s">
        <v>865</v>
      </c>
      <c r="N41" s="154">
        <v>2</v>
      </c>
      <c r="O41" s="173">
        <v>33418</v>
      </c>
      <c r="P41" s="173">
        <v>31593</v>
      </c>
      <c r="Q41" s="153" t="s">
        <v>700</v>
      </c>
      <c r="R41" s="156">
        <v>70</v>
      </c>
      <c r="S41" s="153" t="s">
        <v>697</v>
      </c>
      <c r="T41" s="153" t="s">
        <v>863</v>
      </c>
      <c r="U41" s="174" t="s">
        <v>860</v>
      </c>
      <c r="V41" s="153" t="s">
        <v>697</v>
      </c>
      <c r="W41" s="153" t="s">
        <v>704</v>
      </c>
      <c r="X41" s="153" t="s">
        <v>734</v>
      </c>
      <c r="Y41" s="153" t="s">
        <v>705</v>
      </c>
      <c r="Z41" s="153" t="s">
        <v>706</v>
      </c>
      <c r="AA41" s="157">
        <v>91980</v>
      </c>
      <c r="AB41" s="157">
        <v>200000</v>
      </c>
      <c r="AC41" s="153" t="s">
        <v>716</v>
      </c>
      <c r="AD41" s="153" t="s">
        <v>716</v>
      </c>
      <c r="AE41" s="153" t="s">
        <v>707</v>
      </c>
      <c r="AF41" s="153" t="s">
        <v>707</v>
      </c>
      <c r="AG41" s="153" t="s">
        <v>707</v>
      </c>
      <c r="AH41" s="153" t="s">
        <v>707</v>
      </c>
      <c r="AI41" s="153" t="s">
        <v>707</v>
      </c>
      <c r="AJ41" s="153" t="s">
        <v>707</v>
      </c>
      <c r="AK41" s="153" t="s">
        <v>707</v>
      </c>
      <c r="AL41" s="153" t="s">
        <v>707</v>
      </c>
    </row>
    <row r="42" spans="1:38" ht="246.5" x14ac:dyDescent="0.35">
      <c r="A42" s="175">
        <v>40</v>
      </c>
      <c r="B42" s="57" t="s">
        <v>866</v>
      </c>
      <c r="C42" s="176" t="s">
        <v>867</v>
      </c>
      <c r="D42" s="57" t="s">
        <v>868</v>
      </c>
      <c r="E42" s="57" t="s">
        <v>697</v>
      </c>
      <c r="F42" s="57" t="s">
        <v>697</v>
      </c>
      <c r="G42" s="57" t="s">
        <v>697</v>
      </c>
      <c r="H42" s="57" t="s">
        <v>869</v>
      </c>
      <c r="I42" s="57" t="s">
        <v>870</v>
      </c>
      <c r="J42" s="57" t="s">
        <v>697</v>
      </c>
      <c r="K42" s="57" t="s">
        <v>697</v>
      </c>
      <c r="L42" s="57" t="s">
        <v>148</v>
      </c>
      <c r="M42" s="57" t="s">
        <v>871</v>
      </c>
      <c r="N42" s="58">
        <v>2</v>
      </c>
      <c r="O42" s="56">
        <v>39627</v>
      </c>
      <c r="P42" s="56">
        <v>37801</v>
      </c>
      <c r="Q42" s="57" t="s">
        <v>700</v>
      </c>
      <c r="R42" s="177">
        <v>200</v>
      </c>
      <c r="S42" s="57" t="s">
        <v>697</v>
      </c>
      <c r="T42" s="57" t="s">
        <v>816</v>
      </c>
      <c r="U42" s="57" t="s">
        <v>872</v>
      </c>
      <c r="V42" s="57" t="s">
        <v>697</v>
      </c>
      <c r="W42" s="57" t="s">
        <v>704</v>
      </c>
      <c r="X42" s="57" t="s">
        <v>734</v>
      </c>
      <c r="Y42" s="57" t="s">
        <v>705</v>
      </c>
      <c r="Z42" s="57" t="s">
        <v>706</v>
      </c>
      <c r="AA42" s="178">
        <v>0</v>
      </c>
      <c r="AB42" s="178">
        <v>0</v>
      </c>
      <c r="AC42" s="57" t="s">
        <v>716</v>
      </c>
      <c r="AD42" s="57" t="s">
        <v>716</v>
      </c>
      <c r="AE42" s="57" t="s">
        <v>707</v>
      </c>
      <c r="AF42" s="57" t="s">
        <v>707</v>
      </c>
      <c r="AG42" s="57" t="s">
        <v>707</v>
      </c>
      <c r="AH42" s="57" t="s">
        <v>707</v>
      </c>
      <c r="AI42" s="57" t="s">
        <v>707</v>
      </c>
      <c r="AJ42" s="57" t="s">
        <v>707</v>
      </c>
      <c r="AK42" s="57" t="s">
        <v>707</v>
      </c>
      <c r="AL42" s="57" t="s">
        <v>707</v>
      </c>
    </row>
    <row r="43" spans="1:38" x14ac:dyDescent="0.35">
      <c r="A43" s="175">
        <v>41</v>
      </c>
      <c r="B43" s="57" t="s">
        <v>873</v>
      </c>
      <c r="C43" s="57" t="s">
        <v>874</v>
      </c>
      <c r="D43" s="57" t="s">
        <v>875</v>
      </c>
      <c r="E43" s="57" t="s">
        <v>697</v>
      </c>
      <c r="F43" s="57" t="s">
        <v>697</v>
      </c>
      <c r="G43" s="57" t="s">
        <v>697</v>
      </c>
      <c r="H43" s="57" t="s">
        <v>876</v>
      </c>
      <c r="I43" s="57" t="s">
        <v>875</v>
      </c>
      <c r="J43" s="57" t="s">
        <v>697</v>
      </c>
      <c r="K43" s="57" t="s">
        <v>697</v>
      </c>
      <c r="L43" s="57" t="s">
        <v>148</v>
      </c>
      <c r="M43" s="57" t="s">
        <v>877</v>
      </c>
      <c r="N43" s="58">
        <v>2</v>
      </c>
      <c r="O43" s="161">
        <v>39627</v>
      </c>
      <c r="P43" s="161">
        <v>37801</v>
      </c>
      <c r="Q43" s="57" t="s">
        <v>700</v>
      </c>
      <c r="R43" s="177">
        <v>110</v>
      </c>
      <c r="S43" s="57" t="s">
        <v>697</v>
      </c>
      <c r="T43" s="57" t="s">
        <v>816</v>
      </c>
      <c r="U43" s="57" t="s">
        <v>878</v>
      </c>
      <c r="V43" s="57" t="s">
        <v>697</v>
      </c>
      <c r="W43" s="57" t="s">
        <v>704</v>
      </c>
      <c r="X43" s="57" t="s">
        <v>734</v>
      </c>
      <c r="Y43" s="57" t="s">
        <v>705</v>
      </c>
      <c r="Z43" s="57" t="s">
        <v>706</v>
      </c>
      <c r="AA43" s="178">
        <v>122640</v>
      </c>
      <c r="AB43" s="178">
        <v>200000</v>
      </c>
      <c r="AC43" s="57" t="s">
        <v>716</v>
      </c>
      <c r="AD43" s="57" t="s">
        <v>716</v>
      </c>
      <c r="AE43" s="57" t="s">
        <v>716</v>
      </c>
      <c r="AF43" s="57" t="s">
        <v>707</v>
      </c>
      <c r="AG43" s="57" t="s">
        <v>707</v>
      </c>
      <c r="AH43" s="57" t="s">
        <v>707</v>
      </c>
      <c r="AI43" s="57" t="s">
        <v>707</v>
      </c>
      <c r="AJ43" s="57" t="s">
        <v>707</v>
      </c>
      <c r="AK43" s="57" t="s">
        <v>707</v>
      </c>
      <c r="AL43" s="57" t="s">
        <v>707</v>
      </c>
    </row>
    <row r="44" spans="1:38" x14ac:dyDescent="0.35">
      <c r="A44" s="158">
        <v>42</v>
      </c>
      <c r="B44" s="159" t="s">
        <v>879</v>
      </c>
      <c r="C44" s="159" t="s">
        <v>880</v>
      </c>
      <c r="D44" s="159" t="s">
        <v>321</v>
      </c>
      <c r="E44" s="159" t="s">
        <v>697</v>
      </c>
      <c r="F44" s="159" t="s">
        <v>697</v>
      </c>
      <c r="G44" s="159" t="s">
        <v>697</v>
      </c>
      <c r="H44" s="159" t="s">
        <v>881</v>
      </c>
      <c r="I44" s="159" t="s">
        <v>321</v>
      </c>
      <c r="J44" s="159" t="s">
        <v>697</v>
      </c>
      <c r="K44" s="159" t="s">
        <v>697</v>
      </c>
      <c r="L44" s="159" t="s">
        <v>321</v>
      </c>
      <c r="M44" s="159" t="s">
        <v>882</v>
      </c>
      <c r="N44" s="160">
        <v>2</v>
      </c>
      <c r="O44" s="161">
        <v>43678</v>
      </c>
      <c r="P44" s="161">
        <v>43344</v>
      </c>
      <c r="Q44" s="159" t="s">
        <v>700</v>
      </c>
      <c r="R44" s="162">
        <v>91</v>
      </c>
      <c r="S44" s="159" t="s">
        <v>697</v>
      </c>
      <c r="T44" s="159" t="s">
        <v>883</v>
      </c>
      <c r="U44" s="159" t="s">
        <v>872</v>
      </c>
      <c r="V44" s="159" t="s">
        <v>697</v>
      </c>
      <c r="W44" s="159" t="s">
        <v>704</v>
      </c>
      <c r="X44" s="159" t="s">
        <v>884</v>
      </c>
      <c r="Y44" s="159" t="s">
        <v>705</v>
      </c>
      <c r="Z44" s="159" t="s">
        <v>706</v>
      </c>
      <c r="AA44" s="164">
        <v>99070.125</v>
      </c>
      <c r="AB44" s="164">
        <v>200000</v>
      </c>
      <c r="AC44" s="159" t="s">
        <v>716</v>
      </c>
      <c r="AD44" s="159" t="s">
        <v>716</v>
      </c>
      <c r="AE44" s="159" t="s">
        <v>716</v>
      </c>
      <c r="AF44" s="159" t="s">
        <v>707</v>
      </c>
      <c r="AG44" s="159" t="s">
        <v>707</v>
      </c>
      <c r="AH44" s="159" t="s">
        <v>707</v>
      </c>
      <c r="AI44" s="159" t="s">
        <v>707</v>
      </c>
      <c r="AJ44" s="159" t="s">
        <v>707</v>
      </c>
      <c r="AK44" s="159" t="s">
        <v>707</v>
      </c>
      <c r="AL44" s="159" t="s">
        <v>707</v>
      </c>
    </row>
    <row r="45" spans="1:38" x14ac:dyDescent="0.35">
      <c r="A45" s="142">
        <v>43</v>
      </c>
      <c r="B45" s="146" t="s">
        <v>885</v>
      </c>
      <c r="C45" s="146" t="s">
        <v>886</v>
      </c>
      <c r="D45" s="146" t="s">
        <v>887</v>
      </c>
      <c r="E45" s="146" t="s">
        <v>888</v>
      </c>
      <c r="F45" s="146" t="s">
        <v>889</v>
      </c>
      <c r="G45" s="179" t="s">
        <v>890</v>
      </c>
      <c r="H45" s="146" t="s">
        <v>891</v>
      </c>
      <c r="I45" s="146" t="s">
        <v>892</v>
      </c>
      <c r="J45" s="146" t="s">
        <v>697</v>
      </c>
      <c r="K45" s="146" t="s">
        <v>697</v>
      </c>
      <c r="L45" s="146" t="s">
        <v>42</v>
      </c>
      <c r="M45" s="146" t="s">
        <v>893</v>
      </c>
      <c r="N45" s="147">
        <v>2</v>
      </c>
      <c r="O45" s="148">
        <v>43709</v>
      </c>
      <c r="P45" s="148">
        <v>42979</v>
      </c>
      <c r="Q45" s="146" t="s">
        <v>700</v>
      </c>
      <c r="R45" s="149">
        <v>300</v>
      </c>
      <c r="S45" s="146" t="s">
        <v>697</v>
      </c>
      <c r="T45" s="146" t="s">
        <v>894</v>
      </c>
      <c r="U45" s="146" t="s">
        <v>895</v>
      </c>
      <c r="V45" s="146" t="s">
        <v>697</v>
      </c>
      <c r="W45" s="146" t="s">
        <v>704</v>
      </c>
      <c r="X45" s="146" t="s">
        <v>734</v>
      </c>
      <c r="Y45" s="146" t="s">
        <v>705</v>
      </c>
      <c r="Z45" s="146" t="s">
        <v>706</v>
      </c>
      <c r="AA45" s="151">
        <v>689850</v>
      </c>
      <c r="AB45" s="151">
        <v>200000</v>
      </c>
      <c r="AC45" s="146" t="s">
        <v>716</v>
      </c>
      <c r="AD45" s="146" t="s">
        <v>716</v>
      </c>
      <c r="AE45" s="146" t="s">
        <v>716</v>
      </c>
      <c r="AF45" s="146" t="s">
        <v>707</v>
      </c>
      <c r="AG45" s="146" t="s">
        <v>707</v>
      </c>
      <c r="AH45" s="146" t="s">
        <v>707</v>
      </c>
      <c r="AI45" s="146" t="s">
        <v>707</v>
      </c>
      <c r="AJ45" s="146" t="s">
        <v>707</v>
      </c>
      <c r="AK45" s="146" t="s">
        <v>707</v>
      </c>
      <c r="AL45" s="146" t="s">
        <v>707</v>
      </c>
    </row>
    <row r="46" spans="1:38" x14ac:dyDescent="0.35">
      <c r="A46" s="142">
        <v>44</v>
      </c>
      <c r="B46" s="146" t="s">
        <v>896</v>
      </c>
      <c r="C46" s="146" t="s">
        <v>897</v>
      </c>
      <c r="D46" s="146" t="s">
        <v>328</v>
      </c>
      <c r="E46" s="146" t="s">
        <v>697</v>
      </c>
      <c r="F46" s="146">
        <v>999644572</v>
      </c>
      <c r="G46" s="146" t="s">
        <v>697</v>
      </c>
      <c r="H46" s="146" t="s">
        <v>898</v>
      </c>
      <c r="I46" s="146" t="s">
        <v>18</v>
      </c>
      <c r="J46" s="146" t="s">
        <v>697</v>
      </c>
      <c r="K46" s="146" t="s">
        <v>697</v>
      </c>
      <c r="L46" s="146" t="s">
        <v>18</v>
      </c>
      <c r="M46" s="146" t="s">
        <v>899</v>
      </c>
      <c r="N46" s="147">
        <v>2</v>
      </c>
      <c r="O46" s="148" t="s">
        <v>900</v>
      </c>
      <c r="P46" s="148" t="s">
        <v>901</v>
      </c>
      <c r="Q46" s="146" t="s">
        <v>700</v>
      </c>
      <c r="R46" s="149">
        <v>650</v>
      </c>
      <c r="S46" s="146" t="s">
        <v>697</v>
      </c>
      <c r="T46" s="146" t="s">
        <v>902</v>
      </c>
      <c r="U46" s="146" t="s">
        <v>903</v>
      </c>
      <c r="V46" s="146" t="s">
        <v>697</v>
      </c>
      <c r="W46" s="146" t="s">
        <v>704</v>
      </c>
      <c r="X46" s="146" t="s">
        <v>697</v>
      </c>
      <c r="Y46" s="146" t="s">
        <v>705</v>
      </c>
      <c r="Z46" s="146" t="s">
        <v>706</v>
      </c>
      <c r="AA46" s="151">
        <v>545066.67000000004</v>
      </c>
      <c r="AB46" s="151">
        <v>200000</v>
      </c>
      <c r="AC46" s="146" t="s">
        <v>716</v>
      </c>
      <c r="AD46" s="146" t="s">
        <v>716</v>
      </c>
      <c r="AE46" s="146" t="s">
        <v>716</v>
      </c>
      <c r="AF46" s="146" t="s">
        <v>707</v>
      </c>
      <c r="AG46" s="146" t="s">
        <v>707</v>
      </c>
      <c r="AH46" s="146" t="s">
        <v>707</v>
      </c>
      <c r="AI46" s="146" t="s">
        <v>707</v>
      </c>
      <c r="AJ46" s="146" t="s">
        <v>707</v>
      </c>
      <c r="AK46" s="146" t="s">
        <v>707</v>
      </c>
      <c r="AL46" s="146" t="s">
        <v>707</v>
      </c>
    </row>
    <row r="47" spans="1:38" x14ac:dyDescent="0.35">
      <c r="A47" s="142">
        <v>45</v>
      </c>
      <c r="B47" s="146" t="s">
        <v>904</v>
      </c>
      <c r="C47" s="146" t="s">
        <v>905</v>
      </c>
      <c r="D47" s="146" t="s">
        <v>906</v>
      </c>
      <c r="E47" s="146" t="s">
        <v>697</v>
      </c>
      <c r="F47" s="146" t="s">
        <v>697</v>
      </c>
      <c r="G47" s="146" t="s">
        <v>697</v>
      </c>
      <c r="H47" s="146" t="s">
        <v>907</v>
      </c>
      <c r="I47" s="146" t="s">
        <v>906</v>
      </c>
      <c r="J47" s="146" t="s">
        <v>697</v>
      </c>
      <c r="K47" s="146" t="s">
        <v>697</v>
      </c>
      <c r="L47" s="146" t="s">
        <v>28</v>
      </c>
      <c r="M47" s="146" t="s">
        <v>908</v>
      </c>
      <c r="N47" s="147">
        <v>2</v>
      </c>
      <c r="O47" s="180">
        <v>43838</v>
      </c>
      <c r="P47" s="180">
        <v>43109</v>
      </c>
      <c r="Q47" s="146" t="s">
        <v>700</v>
      </c>
      <c r="R47" s="149">
        <v>36</v>
      </c>
      <c r="S47" s="146" t="s">
        <v>697</v>
      </c>
      <c r="T47" s="146" t="s">
        <v>909</v>
      </c>
      <c r="U47" s="146" t="s">
        <v>910</v>
      </c>
      <c r="V47" s="146" t="s">
        <v>697</v>
      </c>
      <c r="W47" s="146" t="s">
        <v>704</v>
      </c>
      <c r="X47" s="146" t="s">
        <v>697</v>
      </c>
      <c r="Y47" s="146" t="s">
        <v>705</v>
      </c>
      <c r="Z47" s="146" t="s">
        <v>706</v>
      </c>
      <c r="AA47" s="157">
        <v>76650</v>
      </c>
      <c r="AB47" s="151">
        <v>200000</v>
      </c>
      <c r="AC47" s="146" t="s">
        <v>716</v>
      </c>
      <c r="AD47" s="146" t="s">
        <v>716</v>
      </c>
      <c r="AE47" s="146" t="s">
        <v>716</v>
      </c>
      <c r="AF47" s="146" t="s">
        <v>716</v>
      </c>
      <c r="AG47" s="146" t="s">
        <v>716</v>
      </c>
      <c r="AH47" s="146" t="s">
        <v>716</v>
      </c>
      <c r="AI47" s="146" t="s">
        <v>716</v>
      </c>
      <c r="AJ47" s="146" t="s">
        <v>716</v>
      </c>
      <c r="AK47" s="146" t="s">
        <v>716</v>
      </c>
      <c r="AL47" s="146" t="s">
        <v>716</v>
      </c>
    </row>
    <row r="48" spans="1:38" x14ac:dyDescent="0.35">
      <c r="A48" s="142">
        <v>46</v>
      </c>
      <c r="B48" s="146" t="s">
        <v>911</v>
      </c>
      <c r="C48" s="146" t="s">
        <v>912</v>
      </c>
      <c r="D48" s="146" t="s">
        <v>697</v>
      </c>
      <c r="E48" s="146" t="s">
        <v>697</v>
      </c>
      <c r="F48" s="146" t="s">
        <v>697</v>
      </c>
      <c r="G48" s="146" t="s">
        <v>697</v>
      </c>
      <c r="H48" s="146" t="s">
        <v>913</v>
      </c>
      <c r="I48" s="146" t="s">
        <v>721</v>
      </c>
      <c r="J48" s="146" t="s">
        <v>697</v>
      </c>
      <c r="K48" s="146" t="s">
        <v>697</v>
      </c>
      <c r="L48" s="146" t="s">
        <v>721</v>
      </c>
      <c r="M48" s="146" t="s">
        <v>914</v>
      </c>
      <c r="N48" s="147">
        <v>2</v>
      </c>
      <c r="O48" s="148">
        <v>47184</v>
      </c>
      <c r="P48" s="148">
        <v>45359</v>
      </c>
      <c r="Q48" s="146" t="s">
        <v>700</v>
      </c>
      <c r="R48" s="149">
        <v>675</v>
      </c>
      <c r="S48" s="146" t="s">
        <v>697</v>
      </c>
      <c r="T48" s="146" t="s">
        <v>909</v>
      </c>
      <c r="U48" s="146" t="s">
        <v>915</v>
      </c>
      <c r="V48" s="146" t="s">
        <v>697</v>
      </c>
      <c r="W48" s="146" t="s">
        <v>704</v>
      </c>
      <c r="X48" s="146" t="s">
        <v>697</v>
      </c>
      <c r="Y48" s="146" t="s">
        <v>705</v>
      </c>
      <c r="Z48" s="146" t="s">
        <v>706</v>
      </c>
      <c r="AA48" s="151">
        <v>562100</v>
      </c>
      <c r="AB48" s="151">
        <v>200000</v>
      </c>
      <c r="AC48" s="146" t="s">
        <v>716</v>
      </c>
      <c r="AD48" s="146" t="s">
        <v>716</v>
      </c>
      <c r="AE48" s="146" t="s">
        <v>707</v>
      </c>
      <c r="AF48" s="146" t="s">
        <v>707</v>
      </c>
      <c r="AG48" s="146" t="s">
        <v>707</v>
      </c>
      <c r="AH48" s="146" t="s">
        <v>707</v>
      </c>
      <c r="AI48" s="146" t="s">
        <v>707</v>
      </c>
      <c r="AJ48" s="146" t="s">
        <v>707</v>
      </c>
      <c r="AK48" s="146" t="s">
        <v>707</v>
      </c>
      <c r="AL48" s="146" t="s">
        <v>707</v>
      </c>
    </row>
    <row r="49" spans="1:38" x14ac:dyDescent="0.35">
      <c r="A49" s="181">
        <v>47</v>
      </c>
      <c r="B49" s="171" t="s">
        <v>911</v>
      </c>
      <c r="C49" s="171" t="s">
        <v>916</v>
      </c>
      <c r="D49" s="171" t="s">
        <v>767</v>
      </c>
      <c r="E49" s="171" t="s">
        <v>697</v>
      </c>
      <c r="F49" s="171" t="s">
        <v>697</v>
      </c>
      <c r="G49" s="171" t="s">
        <v>697</v>
      </c>
      <c r="H49" s="171" t="s">
        <v>917</v>
      </c>
      <c r="I49" s="171" t="s">
        <v>767</v>
      </c>
      <c r="J49" s="171" t="s">
        <v>697</v>
      </c>
      <c r="K49" s="171" t="s">
        <v>697</v>
      </c>
      <c r="L49" s="171" t="s">
        <v>767</v>
      </c>
      <c r="M49" s="171" t="s">
        <v>918</v>
      </c>
      <c r="N49" s="182">
        <v>2</v>
      </c>
      <c r="O49" s="183" t="s">
        <v>919</v>
      </c>
      <c r="P49" s="183" t="s">
        <v>37</v>
      </c>
      <c r="Q49" s="171" t="s">
        <v>700</v>
      </c>
      <c r="R49" s="184">
        <v>12</v>
      </c>
      <c r="S49" s="171" t="s">
        <v>697</v>
      </c>
      <c r="T49" s="171" t="s">
        <v>816</v>
      </c>
      <c r="U49" s="171" t="s">
        <v>920</v>
      </c>
      <c r="V49" s="171" t="s">
        <v>697</v>
      </c>
      <c r="W49" s="171" t="s">
        <v>704</v>
      </c>
      <c r="X49" s="171" t="s">
        <v>734</v>
      </c>
      <c r="Y49" s="171" t="s">
        <v>705</v>
      </c>
      <c r="Z49" s="171" t="s">
        <v>706</v>
      </c>
      <c r="AA49" s="185">
        <v>76650</v>
      </c>
      <c r="AB49" s="186">
        <v>0</v>
      </c>
      <c r="AC49" s="171" t="s">
        <v>716</v>
      </c>
      <c r="AD49" s="171" t="s">
        <v>707</v>
      </c>
      <c r="AE49" s="171" t="s">
        <v>707</v>
      </c>
      <c r="AF49" s="171" t="s">
        <v>707</v>
      </c>
      <c r="AG49" s="171" t="s">
        <v>707</v>
      </c>
      <c r="AH49" s="171" t="s">
        <v>707</v>
      </c>
      <c r="AI49" s="171" t="s">
        <v>707</v>
      </c>
      <c r="AJ49" s="171" t="s">
        <v>707</v>
      </c>
      <c r="AK49" s="171" t="s">
        <v>707</v>
      </c>
      <c r="AL49" s="171" t="s">
        <v>707</v>
      </c>
    </row>
    <row r="50" spans="1:38" x14ac:dyDescent="0.35">
      <c r="A50" s="142">
        <v>48</v>
      </c>
      <c r="B50" s="146" t="s">
        <v>911</v>
      </c>
      <c r="C50" s="171" t="s">
        <v>921</v>
      </c>
      <c r="D50" s="146" t="s">
        <v>767</v>
      </c>
      <c r="E50" s="146" t="s">
        <v>697</v>
      </c>
      <c r="F50" s="146" t="s">
        <v>697</v>
      </c>
      <c r="G50" s="146" t="s">
        <v>697</v>
      </c>
      <c r="H50" s="146" t="s">
        <v>917</v>
      </c>
      <c r="I50" s="146" t="s">
        <v>767</v>
      </c>
      <c r="J50" s="146" t="s">
        <v>697</v>
      </c>
      <c r="K50" s="146" t="s">
        <v>697</v>
      </c>
      <c r="L50" s="146" t="s">
        <v>767</v>
      </c>
      <c r="M50" s="146" t="s">
        <v>922</v>
      </c>
      <c r="N50" s="147">
        <v>2</v>
      </c>
      <c r="O50" s="148" t="s">
        <v>919</v>
      </c>
      <c r="P50" s="148" t="s">
        <v>37</v>
      </c>
      <c r="Q50" s="146" t="s">
        <v>700</v>
      </c>
      <c r="R50" s="149">
        <v>12</v>
      </c>
      <c r="S50" s="146" t="s">
        <v>697</v>
      </c>
      <c r="T50" s="146" t="s">
        <v>816</v>
      </c>
      <c r="U50" s="146" t="s">
        <v>920</v>
      </c>
      <c r="V50" s="146" t="s">
        <v>697</v>
      </c>
      <c r="W50" s="146" t="s">
        <v>704</v>
      </c>
      <c r="X50" s="146" t="s">
        <v>734</v>
      </c>
      <c r="Y50" s="146" t="s">
        <v>705</v>
      </c>
      <c r="Z50" s="146" t="s">
        <v>706</v>
      </c>
      <c r="AA50" s="157">
        <v>76650</v>
      </c>
      <c r="AB50" s="151">
        <v>0</v>
      </c>
      <c r="AC50" s="146" t="s">
        <v>716</v>
      </c>
      <c r="AD50" s="146" t="s">
        <v>707</v>
      </c>
      <c r="AE50" s="146" t="s">
        <v>707</v>
      </c>
      <c r="AF50" s="146" t="s">
        <v>707</v>
      </c>
      <c r="AG50" s="146" t="s">
        <v>707</v>
      </c>
      <c r="AH50" s="146" t="s">
        <v>707</v>
      </c>
      <c r="AI50" s="146" t="s">
        <v>707</v>
      </c>
      <c r="AJ50" s="146" t="s">
        <v>707</v>
      </c>
      <c r="AK50" s="146" t="s">
        <v>707</v>
      </c>
      <c r="AL50" s="146" t="s">
        <v>707</v>
      </c>
    </row>
    <row r="51" spans="1:38" x14ac:dyDescent="0.35">
      <c r="A51" s="142">
        <v>49</v>
      </c>
      <c r="B51" s="146" t="s">
        <v>911</v>
      </c>
      <c r="C51" s="171" t="s">
        <v>923</v>
      </c>
      <c r="D51" s="146" t="s">
        <v>767</v>
      </c>
      <c r="E51" s="146" t="s">
        <v>697</v>
      </c>
      <c r="F51" s="146" t="s">
        <v>697</v>
      </c>
      <c r="G51" s="146" t="s">
        <v>697</v>
      </c>
      <c r="H51" s="146" t="s">
        <v>917</v>
      </c>
      <c r="I51" s="146" t="s">
        <v>767</v>
      </c>
      <c r="J51" s="146" t="s">
        <v>697</v>
      </c>
      <c r="K51" s="146" t="s">
        <v>697</v>
      </c>
      <c r="L51" s="146" t="s">
        <v>767</v>
      </c>
      <c r="M51" s="146" t="s">
        <v>924</v>
      </c>
      <c r="N51" s="147">
        <v>2</v>
      </c>
      <c r="O51" s="148" t="s">
        <v>919</v>
      </c>
      <c r="P51" s="148" t="s">
        <v>37</v>
      </c>
      <c r="Q51" s="146" t="s">
        <v>700</v>
      </c>
      <c r="R51" s="149">
        <v>12</v>
      </c>
      <c r="S51" s="146" t="s">
        <v>697</v>
      </c>
      <c r="T51" s="146" t="s">
        <v>816</v>
      </c>
      <c r="U51" s="146" t="s">
        <v>920</v>
      </c>
      <c r="V51" s="146" t="s">
        <v>697</v>
      </c>
      <c r="W51" s="146" t="s">
        <v>704</v>
      </c>
      <c r="X51" s="146" t="s">
        <v>734</v>
      </c>
      <c r="Y51" s="146" t="s">
        <v>705</v>
      </c>
      <c r="Z51" s="146" t="s">
        <v>706</v>
      </c>
      <c r="AA51" s="157">
        <v>76650</v>
      </c>
      <c r="AB51" s="151">
        <v>0</v>
      </c>
      <c r="AC51" s="146" t="s">
        <v>716</v>
      </c>
      <c r="AD51" s="146" t="s">
        <v>707</v>
      </c>
      <c r="AE51" s="146" t="s">
        <v>707</v>
      </c>
      <c r="AF51" s="146" t="s">
        <v>707</v>
      </c>
      <c r="AG51" s="146" t="s">
        <v>707</v>
      </c>
      <c r="AH51" s="146" t="s">
        <v>707</v>
      </c>
      <c r="AI51" s="146" t="s">
        <v>707</v>
      </c>
      <c r="AJ51" s="146" t="s">
        <v>707</v>
      </c>
      <c r="AK51" s="146" t="s">
        <v>707</v>
      </c>
      <c r="AL51" s="146" t="s">
        <v>707</v>
      </c>
    </row>
    <row r="52" spans="1:38" x14ac:dyDescent="0.35">
      <c r="A52" s="181">
        <v>50</v>
      </c>
      <c r="B52" s="171" t="s">
        <v>911</v>
      </c>
      <c r="C52" s="171" t="s">
        <v>925</v>
      </c>
      <c r="D52" s="171" t="s">
        <v>767</v>
      </c>
      <c r="E52" s="171" t="s">
        <v>697</v>
      </c>
      <c r="F52" s="171" t="s">
        <v>697</v>
      </c>
      <c r="G52" s="171" t="s">
        <v>697</v>
      </c>
      <c r="H52" s="171" t="s">
        <v>760</v>
      </c>
      <c r="I52" s="171" t="s">
        <v>321</v>
      </c>
      <c r="J52" s="171" t="s">
        <v>697</v>
      </c>
      <c r="K52" s="171" t="s">
        <v>697</v>
      </c>
      <c r="L52" s="171" t="s">
        <v>321</v>
      </c>
      <c r="M52" s="171" t="s">
        <v>926</v>
      </c>
      <c r="N52" s="182">
        <v>2</v>
      </c>
      <c r="O52" s="183" t="s">
        <v>919</v>
      </c>
      <c r="P52" s="183" t="s">
        <v>37</v>
      </c>
      <c r="Q52" s="171" t="s">
        <v>700</v>
      </c>
      <c r="R52" s="184">
        <v>12</v>
      </c>
      <c r="S52" s="171" t="s">
        <v>697</v>
      </c>
      <c r="T52" s="171" t="s">
        <v>816</v>
      </c>
      <c r="U52" s="171" t="s">
        <v>920</v>
      </c>
      <c r="V52" s="171" t="s">
        <v>697</v>
      </c>
      <c r="W52" s="171" t="s">
        <v>704</v>
      </c>
      <c r="X52" s="171" t="s">
        <v>734</v>
      </c>
      <c r="Y52" s="171" t="s">
        <v>705</v>
      </c>
      <c r="Z52" s="171" t="s">
        <v>706</v>
      </c>
      <c r="AA52" s="185">
        <v>76650</v>
      </c>
      <c r="AB52" s="186">
        <v>0</v>
      </c>
      <c r="AC52" s="171" t="s">
        <v>716</v>
      </c>
      <c r="AD52" s="171" t="s">
        <v>707</v>
      </c>
      <c r="AE52" s="171" t="s">
        <v>707</v>
      </c>
      <c r="AF52" s="171" t="s">
        <v>707</v>
      </c>
      <c r="AG52" s="171" t="s">
        <v>707</v>
      </c>
      <c r="AH52" s="171" t="s">
        <v>707</v>
      </c>
      <c r="AI52" s="171" t="s">
        <v>707</v>
      </c>
      <c r="AJ52" s="171" t="s">
        <v>707</v>
      </c>
      <c r="AK52" s="171" t="s">
        <v>707</v>
      </c>
      <c r="AL52" s="171" t="s">
        <v>707</v>
      </c>
    </row>
    <row r="53" spans="1:38" x14ac:dyDescent="0.35">
      <c r="A53" s="175">
        <v>51</v>
      </c>
      <c r="B53" s="57" t="s">
        <v>927</v>
      </c>
      <c r="C53" s="57" t="s">
        <v>928</v>
      </c>
      <c r="D53" s="57" t="s">
        <v>875</v>
      </c>
      <c r="E53" s="57" t="s">
        <v>697</v>
      </c>
      <c r="F53" s="57" t="s">
        <v>697</v>
      </c>
      <c r="G53" s="57" t="s">
        <v>697</v>
      </c>
      <c r="H53" s="57" t="s">
        <v>929</v>
      </c>
      <c r="I53" s="57" t="s">
        <v>875</v>
      </c>
      <c r="J53" s="57" t="s">
        <v>697</v>
      </c>
      <c r="K53" s="57" t="s">
        <v>697</v>
      </c>
      <c r="L53" s="57" t="s">
        <v>148</v>
      </c>
      <c r="M53" s="57" t="s">
        <v>930</v>
      </c>
      <c r="N53" s="58">
        <v>2</v>
      </c>
      <c r="O53" s="56" t="s">
        <v>919</v>
      </c>
      <c r="P53" s="56" t="s">
        <v>37</v>
      </c>
      <c r="Q53" s="57" t="s">
        <v>700</v>
      </c>
      <c r="R53" s="177">
        <v>150</v>
      </c>
      <c r="S53" s="57" t="s">
        <v>697</v>
      </c>
      <c r="T53" s="57" t="s">
        <v>837</v>
      </c>
      <c r="U53" s="57" t="s">
        <v>826</v>
      </c>
      <c r="V53" s="57" t="s">
        <v>697</v>
      </c>
      <c r="W53" s="57" t="s">
        <v>704</v>
      </c>
      <c r="X53" s="57" t="s">
        <v>734</v>
      </c>
      <c r="Y53" s="57" t="s">
        <v>705</v>
      </c>
      <c r="Z53" s="57" t="s">
        <v>706</v>
      </c>
      <c r="AA53" s="178">
        <v>153300</v>
      </c>
      <c r="AB53" s="178">
        <v>0</v>
      </c>
      <c r="AC53" s="57" t="s">
        <v>716</v>
      </c>
      <c r="AD53" s="57" t="s">
        <v>716</v>
      </c>
      <c r="AE53" s="57" t="s">
        <v>716</v>
      </c>
      <c r="AF53" s="57" t="s">
        <v>61</v>
      </c>
      <c r="AG53" s="57" t="s">
        <v>61</v>
      </c>
      <c r="AH53" s="57" t="s">
        <v>61</v>
      </c>
      <c r="AI53" s="57" t="s">
        <v>61</v>
      </c>
      <c r="AJ53" s="57" t="s">
        <v>61</v>
      </c>
      <c r="AK53" s="57" t="s">
        <v>61</v>
      </c>
      <c r="AL53" s="57" t="s">
        <v>61</v>
      </c>
    </row>
    <row r="54" spans="1:38" x14ac:dyDescent="0.35">
      <c r="A54" s="175">
        <v>52</v>
      </c>
      <c r="B54" s="57" t="s">
        <v>931</v>
      </c>
      <c r="C54" s="57" t="s">
        <v>932</v>
      </c>
      <c r="D54" s="57" t="s">
        <v>933</v>
      </c>
      <c r="E54" s="57" t="s">
        <v>697</v>
      </c>
      <c r="F54" s="57" t="s">
        <v>697</v>
      </c>
      <c r="G54" s="57" t="s">
        <v>697</v>
      </c>
      <c r="H54" s="57" t="s">
        <v>934</v>
      </c>
      <c r="I54" s="57" t="s">
        <v>935</v>
      </c>
      <c r="J54" s="57" t="s">
        <v>697</v>
      </c>
      <c r="K54" s="57" t="s">
        <v>697</v>
      </c>
      <c r="L54" s="57" t="s">
        <v>18</v>
      </c>
      <c r="M54" s="57" t="s">
        <v>741</v>
      </c>
      <c r="N54" s="58">
        <v>2</v>
      </c>
      <c r="O54" s="56" t="s">
        <v>919</v>
      </c>
      <c r="P54" s="56" t="s">
        <v>37</v>
      </c>
      <c r="Q54" s="57" t="s">
        <v>700</v>
      </c>
      <c r="R54" s="177">
        <v>50</v>
      </c>
      <c r="S54" s="57" t="s">
        <v>697</v>
      </c>
      <c r="T54" s="57" t="s">
        <v>936</v>
      </c>
      <c r="U54" s="57" t="s">
        <v>937</v>
      </c>
      <c r="V54" s="57" t="s">
        <v>697</v>
      </c>
      <c r="W54" s="57" t="s">
        <v>704</v>
      </c>
      <c r="X54" s="57" t="s">
        <v>734</v>
      </c>
      <c r="Y54" s="57" t="s">
        <v>705</v>
      </c>
      <c r="Z54" s="57" t="s">
        <v>706</v>
      </c>
      <c r="AA54" s="178">
        <v>102200</v>
      </c>
      <c r="AB54" s="178">
        <v>200000</v>
      </c>
      <c r="AC54" s="57" t="s">
        <v>716</v>
      </c>
      <c r="AD54" s="57" t="s">
        <v>716</v>
      </c>
      <c r="AE54" s="57" t="s">
        <v>716</v>
      </c>
      <c r="AF54" s="57"/>
      <c r="AG54" s="57"/>
      <c r="AH54" s="57"/>
      <c r="AI54" s="57"/>
      <c r="AJ54" s="57"/>
      <c r="AK54" s="57"/>
      <c r="AL54" s="57" t="s">
        <v>312</v>
      </c>
    </row>
    <row r="55" spans="1:38" x14ac:dyDescent="0.35">
      <c r="A55" s="175">
        <v>53</v>
      </c>
      <c r="B55" s="57" t="s">
        <v>751</v>
      </c>
      <c r="C55" s="57" t="s">
        <v>752</v>
      </c>
      <c r="D55" s="57" t="s">
        <v>744</v>
      </c>
      <c r="E55" s="57" t="s">
        <v>697</v>
      </c>
      <c r="F55" s="57" t="s">
        <v>753</v>
      </c>
      <c r="G55" s="57" t="s">
        <v>697</v>
      </c>
      <c r="H55" s="57" t="s">
        <v>745</v>
      </c>
      <c r="I55" s="57" t="s">
        <v>746</v>
      </c>
      <c r="J55" s="57" t="s">
        <v>697</v>
      </c>
      <c r="K55" s="57" t="s">
        <v>697</v>
      </c>
      <c r="L55" s="57" t="s">
        <v>747</v>
      </c>
      <c r="M55" s="57" t="s">
        <v>938</v>
      </c>
      <c r="N55" s="58">
        <v>2</v>
      </c>
      <c r="O55" s="56">
        <v>41916</v>
      </c>
      <c r="P55" s="56">
        <v>41217</v>
      </c>
      <c r="Q55" s="57" t="s">
        <v>700</v>
      </c>
      <c r="R55" s="177">
        <v>140</v>
      </c>
      <c r="S55" s="57" t="s">
        <v>697</v>
      </c>
      <c r="T55" s="57" t="s">
        <v>939</v>
      </c>
      <c r="U55" s="57" t="s">
        <v>756</v>
      </c>
      <c r="V55" s="57" t="s">
        <v>697</v>
      </c>
      <c r="W55" s="57" t="s">
        <v>704</v>
      </c>
      <c r="X55" s="57" t="s">
        <v>734</v>
      </c>
      <c r="Y55" s="57" t="s">
        <v>705</v>
      </c>
      <c r="Z55" s="57" t="s">
        <v>706</v>
      </c>
      <c r="AA55" s="178">
        <v>194180</v>
      </c>
      <c r="AB55" s="178">
        <v>200000</v>
      </c>
      <c r="AC55" s="57" t="s">
        <v>707</v>
      </c>
      <c r="AD55" s="57" t="s">
        <v>707</v>
      </c>
      <c r="AE55" s="57" t="s">
        <v>707</v>
      </c>
      <c r="AF55" s="57" t="s">
        <v>707</v>
      </c>
      <c r="AG55" s="57" t="s">
        <v>707</v>
      </c>
      <c r="AH55" s="57" t="s">
        <v>707</v>
      </c>
      <c r="AI55" s="57" t="s">
        <v>707</v>
      </c>
      <c r="AJ55" s="57" t="s">
        <v>707</v>
      </c>
      <c r="AK55" s="57" t="s">
        <v>707</v>
      </c>
      <c r="AL55" s="57" t="s">
        <v>707</v>
      </c>
    </row>
    <row r="56" spans="1:38" x14ac:dyDescent="0.35">
      <c r="A56" s="175">
        <v>54</v>
      </c>
      <c r="B56" s="57" t="s">
        <v>751</v>
      </c>
      <c r="C56" s="57" t="s">
        <v>752</v>
      </c>
      <c r="D56" s="57" t="s">
        <v>744</v>
      </c>
      <c r="E56" s="57" t="s">
        <v>697</v>
      </c>
      <c r="F56" s="57" t="s">
        <v>753</v>
      </c>
      <c r="G56" s="57" t="s">
        <v>697</v>
      </c>
      <c r="H56" s="57" t="s">
        <v>745</v>
      </c>
      <c r="I56" s="57" t="s">
        <v>746</v>
      </c>
      <c r="J56" s="57" t="s">
        <v>697</v>
      </c>
      <c r="K56" s="57" t="s">
        <v>697</v>
      </c>
      <c r="L56" s="57" t="s">
        <v>747</v>
      </c>
      <c r="M56" s="57" t="s">
        <v>940</v>
      </c>
      <c r="N56" s="58">
        <v>2</v>
      </c>
      <c r="O56" s="56">
        <v>41371</v>
      </c>
      <c r="P56" s="56">
        <v>40609</v>
      </c>
      <c r="Q56" s="57" t="s">
        <v>700</v>
      </c>
      <c r="R56" s="177">
        <v>140</v>
      </c>
      <c r="S56" s="57" t="s">
        <v>697</v>
      </c>
      <c r="T56" s="57" t="s">
        <v>939</v>
      </c>
      <c r="U56" s="57" t="s">
        <v>756</v>
      </c>
      <c r="V56" s="57" t="s">
        <v>697</v>
      </c>
      <c r="W56" s="57" t="s">
        <v>704</v>
      </c>
      <c r="X56" s="57" t="s">
        <v>734</v>
      </c>
      <c r="Y56" s="57" t="s">
        <v>705</v>
      </c>
      <c r="Z56" s="57" t="s">
        <v>706</v>
      </c>
      <c r="AA56" s="187">
        <v>194180</v>
      </c>
      <c r="AB56" s="187">
        <v>200000</v>
      </c>
      <c r="AC56" s="57" t="s">
        <v>707</v>
      </c>
      <c r="AD56" s="57" t="s">
        <v>707</v>
      </c>
      <c r="AE56" s="57" t="s">
        <v>707</v>
      </c>
      <c r="AF56" s="57" t="s">
        <v>707</v>
      </c>
      <c r="AG56" s="57" t="s">
        <v>707</v>
      </c>
      <c r="AH56" s="57" t="s">
        <v>707</v>
      </c>
      <c r="AI56" s="57" t="s">
        <v>707</v>
      </c>
      <c r="AJ56" s="57" t="s">
        <v>707</v>
      </c>
      <c r="AK56" s="57" t="s">
        <v>707</v>
      </c>
      <c r="AL56" s="57" t="s">
        <v>707</v>
      </c>
    </row>
    <row r="57" spans="1:38" x14ac:dyDescent="0.35">
      <c r="A57" s="175">
        <v>55</v>
      </c>
      <c r="B57" s="57" t="s">
        <v>941</v>
      </c>
      <c r="C57" s="171" t="s">
        <v>942</v>
      </c>
      <c r="D57" s="57" t="s">
        <v>321</v>
      </c>
      <c r="E57" s="57" t="s">
        <v>697</v>
      </c>
      <c r="F57" s="57" t="s">
        <v>697</v>
      </c>
      <c r="G57" s="57" t="s">
        <v>697</v>
      </c>
      <c r="H57" s="57" t="s">
        <v>814</v>
      </c>
      <c r="I57" s="57" t="s">
        <v>321</v>
      </c>
      <c r="J57" s="57" t="s">
        <v>697</v>
      </c>
      <c r="K57" s="57" t="s">
        <v>697</v>
      </c>
      <c r="L57" s="57" t="s">
        <v>321</v>
      </c>
      <c r="M57" s="57" t="s">
        <v>943</v>
      </c>
      <c r="N57" s="58">
        <v>2</v>
      </c>
      <c r="O57" s="56">
        <v>41916</v>
      </c>
      <c r="P57" s="56">
        <v>41217</v>
      </c>
      <c r="Q57" s="57" t="s">
        <v>700</v>
      </c>
      <c r="R57" s="177">
        <v>0.17</v>
      </c>
      <c r="S57" s="57" t="s">
        <v>944</v>
      </c>
      <c r="T57" s="57" t="s">
        <v>945</v>
      </c>
      <c r="U57" s="57" t="s">
        <v>946</v>
      </c>
      <c r="V57" s="57" t="s">
        <v>697</v>
      </c>
      <c r="W57" s="57" t="s">
        <v>704</v>
      </c>
      <c r="X57" s="57" t="s">
        <v>61</v>
      </c>
      <c r="Y57" s="57" t="s">
        <v>725</v>
      </c>
      <c r="Z57" s="57" t="s">
        <v>706</v>
      </c>
      <c r="AA57" s="187">
        <v>76650</v>
      </c>
      <c r="AB57" s="187">
        <v>200000</v>
      </c>
      <c r="AC57" s="57" t="s">
        <v>716</v>
      </c>
      <c r="AD57" s="57" t="s">
        <v>716</v>
      </c>
      <c r="AE57" s="57" t="s">
        <v>707</v>
      </c>
      <c r="AF57" s="57" t="s">
        <v>707</v>
      </c>
      <c r="AG57" s="57" t="s">
        <v>707</v>
      </c>
      <c r="AH57" s="57" t="s">
        <v>707</v>
      </c>
      <c r="AI57" s="57" t="s">
        <v>707</v>
      </c>
      <c r="AJ57" s="57" t="s">
        <v>707</v>
      </c>
      <c r="AK57" s="57" t="s">
        <v>707</v>
      </c>
      <c r="AL57" s="57" t="s">
        <v>707</v>
      </c>
    </row>
    <row r="58" spans="1:38" ht="72.5" x14ac:dyDescent="0.35">
      <c r="A58" s="175">
        <v>56</v>
      </c>
      <c r="B58" s="57" t="s">
        <v>947</v>
      </c>
      <c r="C58" s="57" t="s">
        <v>948</v>
      </c>
      <c r="D58" s="57" t="s">
        <v>949</v>
      </c>
      <c r="E58" s="57" t="s">
        <v>697</v>
      </c>
      <c r="F58" s="57" t="s">
        <v>697</v>
      </c>
      <c r="G58" s="57" t="s">
        <v>697</v>
      </c>
      <c r="H58" s="57" t="s">
        <v>950</v>
      </c>
      <c r="I58" s="57" t="s">
        <v>28</v>
      </c>
      <c r="J58" s="57" t="s">
        <v>697</v>
      </c>
      <c r="K58" s="57" t="s">
        <v>697</v>
      </c>
      <c r="L58" s="57" t="s">
        <v>28</v>
      </c>
      <c r="M58" s="57" t="s">
        <v>951</v>
      </c>
      <c r="N58" s="58">
        <v>2</v>
      </c>
      <c r="O58" s="56">
        <v>30538</v>
      </c>
      <c r="P58" s="56">
        <v>29808</v>
      </c>
      <c r="Q58" s="57" t="s">
        <v>700</v>
      </c>
      <c r="R58" s="177">
        <v>23</v>
      </c>
      <c r="S58" s="57" t="s">
        <v>952</v>
      </c>
      <c r="T58" s="57" t="s">
        <v>953</v>
      </c>
      <c r="U58" s="176" t="s">
        <v>954</v>
      </c>
      <c r="V58" s="57" t="s">
        <v>697</v>
      </c>
      <c r="W58" s="57" t="s">
        <v>704</v>
      </c>
      <c r="X58" s="57" t="s">
        <v>61</v>
      </c>
      <c r="Y58" s="57" t="s">
        <v>705</v>
      </c>
      <c r="Z58" s="57" t="s">
        <v>706</v>
      </c>
      <c r="AA58" s="187">
        <v>76650</v>
      </c>
      <c r="AB58" s="187">
        <v>200000</v>
      </c>
      <c r="AC58" s="57" t="s">
        <v>716</v>
      </c>
      <c r="AD58" s="57" t="s">
        <v>716</v>
      </c>
      <c r="AE58" s="57" t="s">
        <v>716</v>
      </c>
      <c r="AF58" s="57" t="s">
        <v>716</v>
      </c>
      <c r="AG58" s="57" t="s">
        <v>716</v>
      </c>
      <c r="AH58" s="57" t="s">
        <v>716</v>
      </c>
      <c r="AI58" s="57" t="s">
        <v>716</v>
      </c>
      <c r="AJ58" s="57" t="s">
        <v>716</v>
      </c>
      <c r="AK58" s="57" t="s">
        <v>716</v>
      </c>
      <c r="AL58" s="57" t="s">
        <v>716</v>
      </c>
    </row>
    <row r="59" spans="1:38" x14ac:dyDescent="0.35">
      <c r="A59" s="175">
        <v>57</v>
      </c>
      <c r="B59" s="57" t="s">
        <v>879</v>
      </c>
      <c r="C59" s="171" t="s">
        <v>955</v>
      </c>
      <c r="D59" s="57" t="s">
        <v>321</v>
      </c>
      <c r="E59" s="57" t="s">
        <v>697</v>
      </c>
      <c r="F59" s="57" t="s">
        <v>697</v>
      </c>
      <c r="G59" t="s">
        <v>697</v>
      </c>
      <c r="H59" s="57" t="s">
        <v>814</v>
      </c>
      <c r="I59" s="57" t="s">
        <v>321</v>
      </c>
      <c r="J59" s="57" t="s">
        <v>697</v>
      </c>
      <c r="K59" s="57" t="s">
        <v>697</v>
      </c>
      <c r="L59" s="57" t="s">
        <v>321</v>
      </c>
      <c r="M59" s="57" t="s">
        <v>956</v>
      </c>
      <c r="N59" s="58">
        <v>2</v>
      </c>
      <c r="O59" s="56" t="s">
        <v>957</v>
      </c>
      <c r="P59" s="56" t="s">
        <v>958</v>
      </c>
      <c r="Q59" s="57" t="s">
        <v>700</v>
      </c>
      <c r="R59" s="177">
        <v>23</v>
      </c>
      <c r="S59" s="57" t="s">
        <v>697</v>
      </c>
      <c r="T59" t="s">
        <v>959</v>
      </c>
      <c r="U59" s="57" t="s">
        <v>960</v>
      </c>
      <c r="V59" s="57" t="s">
        <v>697</v>
      </c>
      <c r="W59" s="57" t="s">
        <v>704</v>
      </c>
      <c r="X59" s="57" t="s">
        <v>61</v>
      </c>
      <c r="Y59" s="57" t="s">
        <v>705</v>
      </c>
      <c r="Z59" s="57" t="s">
        <v>706</v>
      </c>
      <c r="AA59" s="187">
        <v>76650</v>
      </c>
      <c r="AB59" s="187">
        <v>200000</v>
      </c>
      <c r="AC59" s="57" t="s">
        <v>716</v>
      </c>
      <c r="AD59" s="57" t="s">
        <v>716</v>
      </c>
      <c r="AE59" s="57" t="s">
        <v>716</v>
      </c>
      <c r="AF59" s="57" t="s">
        <v>716</v>
      </c>
      <c r="AG59" s="57" t="s">
        <v>716</v>
      </c>
      <c r="AH59" s="57" t="s">
        <v>716</v>
      </c>
      <c r="AI59" s="57" t="s">
        <v>716</v>
      </c>
      <c r="AJ59" s="57" t="s">
        <v>716</v>
      </c>
      <c r="AK59" s="57" t="s">
        <v>716</v>
      </c>
      <c r="AL59" s="57" t="s">
        <v>716</v>
      </c>
    </row>
    <row r="60" spans="1:38" x14ac:dyDescent="0.35">
      <c r="A60" s="175">
        <v>58</v>
      </c>
      <c r="B60" s="57" t="s">
        <v>961</v>
      </c>
      <c r="C60" s="57" t="s">
        <v>962</v>
      </c>
      <c r="D60" s="57" t="s">
        <v>906</v>
      </c>
      <c r="E60" s="57" t="s">
        <v>697</v>
      </c>
      <c r="F60" s="57" t="s">
        <v>697</v>
      </c>
      <c r="G60" s="57" t="s">
        <v>697</v>
      </c>
      <c r="H60" s="57" t="s">
        <v>963</v>
      </c>
      <c r="I60" s="57" t="s">
        <v>906</v>
      </c>
      <c r="J60" s="57" t="s">
        <v>697</v>
      </c>
      <c r="K60" s="57" t="s">
        <v>697</v>
      </c>
      <c r="L60" s="57" t="s">
        <v>28</v>
      </c>
      <c r="M60" s="57" t="s">
        <v>961</v>
      </c>
      <c r="N60" s="58">
        <v>2</v>
      </c>
      <c r="O60" s="56"/>
      <c r="P60" s="56"/>
      <c r="Q60" s="57" t="s">
        <v>700</v>
      </c>
      <c r="R60" s="177">
        <v>36</v>
      </c>
      <c r="S60" s="57" t="s">
        <v>697</v>
      </c>
      <c r="T60" s="57" t="s">
        <v>936</v>
      </c>
      <c r="U60" s="57" t="s">
        <v>964</v>
      </c>
      <c r="V60" s="57" t="s">
        <v>697</v>
      </c>
      <c r="W60" s="57" t="s">
        <v>704</v>
      </c>
      <c r="X60" s="57" t="s">
        <v>697</v>
      </c>
      <c r="Y60" s="57" t="s">
        <v>705</v>
      </c>
      <c r="Z60" s="57" t="s">
        <v>706</v>
      </c>
      <c r="AA60" s="187">
        <v>76650</v>
      </c>
      <c r="AB60" s="187">
        <v>200000</v>
      </c>
      <c r="AC60" s="57" t="s">
        <v>716</v>
      </c>
      <c r="AD60" s="57" t="s">
        <v>716</v>
      </c>
      <c r="AE60" s="57" t="s">
        <v>716</v>
      </c>
      <c r="AF60" s="57" t="s">
        <v>716</v>
      </c>
      <c r="AG60" s="57" t="s">
        <v>716</v>
      </c>
      <c r="AH60" s="57" t="s">
        <v>716</v>
      </c>
      <c r="AI60" s="57" t="s">
        <v>716</v>
      </c>
      <c r="AJ60" s="57" t="s">
        <v>716</v>
      </c>
      <c r="AK60" s="57" t="s">
        <v>716</v>
      </c>
      <c r="AL60" s="57" t="s">
        <v>716</v>
      </c>
    </row>
    <row r="61" spans="1:38" x14ac:dyDescent="0.35">
      <c r="A61" s="175">
        <v>59</v>
      </c>
      <c r="B61" s="57" t="s">
        <v>965</v>
      </c>
      <c r="C61" s="57" t="s">
        <v>966</v>
      </c>
      <c r="D61" s="57" t="s">
        <v>967</v>
      </c>
      <c r="E61" s="57" t="s">
        <v>697</v>
      </c>
      <c r="F61" s="57" t="s">
        <v>697</v>
      </c>
      <c r="G61" s="57" t="s">
        <v>697</v>
      </c>
      <c r="H61" s="57" t="s">
        <v>968</v>
      </c>
      <c r="I61" s="57" t="s">
        <v>967</v>
      </c>
      <c r="J61" s="57" t="s">
        <v>697</v>
      </c>
      <c r="K61" s="57" t="s">
        <v>697</v>
      </c>
      <c r="L61" s="57" t="s">
        <v>967</v>
      </c>
      <c r="M61" s="57" t="s">
        <v>965</v>
      </c>
      <c r="N61" s="58">
        <v>2</v>
      </c>
      <c r="O61" s="56" t="s">
        <v>957</v>
      </c>
      <c r="P61" s="56" t="s">
        <v>958</v>
      </c>
      <c r="Q61" s="57" t="s">
        <v>700</v>
      </c>
      <c r="R61" s="177">
        <v>80</v>
      </c>
      <c r="S61" s="57" t="s">
        <v>697</v>
      </c>
      <c r="T61" s="57" t="s">
        <v>936</v>
      </c>
      <c r="U61" s="57" t="s">
        <v>969</v>
      </c>
      <c r="V61" s="57" t="s">
        <v>697</v>
      </c>
      <c r="W61" s="57" t="s">
        <v>704</v>
      </c>
      <c r="X61" s="57" t="s">
        <v>697</v>
      </c>
      <c r="Y61" s="57" t="s">
        <v>705</v>
      </c>
      <c r="Z61" s="57" t="s">
        <v>706</v>
      </c>
      <c r="AA61" s="187">
        <v>0</v>
      </c>
      <c r="AB61" s="187">
        <v>0</v>
      </c>
      <c r="AC61" s="57" t="s">
        <v>716</v>
      </c>
      <c r="AD61" s="57" t="s">
        <v>716</v>
      </c>
      <c r="AE61" s="57" t="s">
        <v>716</v>
      </c>
      <c r="AF61" s="57" t="s">
        <v>716</v>
      </c>
      <c r="AG61" s="57" t="s">
        <v>716</v>
      </c>
      <c r="AH61" s="57" t="s">
        <v>716</v>
      </c>
      <c r="AI61" s="57" t="s">
        <v>716</v>
      </c>
      <c r="AJ61" s="57" t="s">
        <v>716</v>
      </c>
      <c r="AK61" s="57" t="s">
        <v>716</v>
      </c>
      <c r="AL61" s="57" t="s">
        <v>716</v>
      </c>
    </row>
    <row r="62" spans="1:38" x14ac:dyDescent="0.35">
      <c r="A62" s="175">
        <v>60</v>
      </c>
      <c r="B62" s="57" t="s">
        <v>931</v>
      </c>
      <c r="C62" s="57" t="s">
        <v>970</v>
      </c>
      <c r="D62" s="57" t="s">
        <v>308</v>
      </c>
      <c r="E62" s="57" t="s">
        <v>697</v>
      </c>
      <c r="F62" s="57" t="s">
        <v>697</v>
      </c>
      <c r="G62" s="57" t="s">
        <v>697</v>
      </c>
      <c r="H62" s="57" t="s">
        <v>971</v>
      </c>
      <c r="I62" s="57" t="s">
        <v>308</v>
      </c>
      <c r="J62" s="57" t="s">
        <v>697</v>
      </c>
      <c r="K62" s="57" t="s">
        <v>697</v>
      </c>
      <c r="L62" s="57" t="s">
        <v>28</v>
      </c>
      <c r="M62" s="57" t="s">
        <v>972</v>
      </c>
      <c r="N62" s="58">
        <v>2</v>
      </c>
      <c r="O62" s="56" t="s">
        <v>973</v>
      </c>
      <c r="P62" s="56">
        <v>43834</v>
      </c>
      <c r="Q62" s="57" t="s">
        <v>700</v>
      </c>
      <c r="R62" s="177">
        <v>95.9</v>
      </c>
      <c r="S62" s="57" t="s">
        <v>697</v>
      </c>
      <c r="T62" s="57" t="s">
        <v>816</v>
      </c>
      <c r="U62" s="57" t="s">
        <v>974</v>
      </c>
      <c r="V62" s="57" t="s">
        <v>697</v>
      </c>
      <c r="W62" s="57" t="s">
        <v>704</v>
      </c>
      <c r="X62" s="57" t="s">
        <v>697</v>
      </c>
      <c r="Y62" s="57" t="s">
        <v>705</v>
      </c>
      <c r="Z62" s="57" t="s">
        <v>706</v>
      </c>
      <c r="AA62" s="187">
        <v>149109.80000000002</v>
      </c>
      <c r="AB62" s="187">
        <v>200000</v>
      </c>
      <c r="AC62" s="57" t="s">
        <v>716</v>
      </c>
      <c r="AD62" s="57" t="s">
        <v>716</v>
      </c>
      <c r="AE62" s="57" t="s">
        <v>716</v>
      </c>
      <c r="AF62" s="57" t="s">
        <v>716</v>
      </c>
      <c r="AG62" s="57"/>
      <c r="AH62" s="57"/>
      <c r="AI62" s="57"/>
      <c r="AJ62" s="57"/>
      <c r="AK62" s="57"/>
      <c r="AL62" s="57"/>
    </row>
    <row r="63" spans="1:38" x14ac:dyDescent="0.35">
      <c r="A63" s="175">
        <v>61</v>
      </c>
      <c r="B63" s="57" t="s">
        <v>975</v>
      </c>
      <c r="C63" s="57" t="s">
        <v>976</v>
      </c>
      <c r="D63" s="57" t="s">
        <v>977</v>
      </c>
      <c r="E63" s="57" t="s">
        <v>697</v>
      </c>
      <c r="F63" s="57" t="s">
        <v>697</v>
      </c>
      <c r="G63" s="57" t="s">
        <v>697</v>
      </c>
      <c r="H63" s="57" t="s">
        <v>978</v>
      </c>
      <c r="I63" s="57" t="s">
        <v>979</v>
      </c>
      <c r="J63" s="57" t="s">
        <v>697</v>
      </c>
      <c r="K63" s="57" t="s">
        <v>697</v>
      </c>
      <c r="L63" s="57" t="s">
        <v>28</v>
      </c>
      <c r="M63" s="57" t="s">
        <v>980</v>
      </c>
      <c r="N63" s="58">
        <v>2</v>
      </c>
      <c r="O63" s="56" t="s">
        <v>981</v>
      </c>
      <c r="P63" s="56">
        <v>43109</v>
      </c>
      <c r="Q63" s="57" t="s">
        <v>700</v>
      </c>
      <c r="R63" s="177">
        <v>820.8</v>
      </c>
      <c r="S63" s="57" t="s">
        <v>697</v>
      </c>
      <c r="T63" s="57" t="s">
        <v>982</v>
      </c>
      <c r="U63" s="57" t="s">
        <v>983</v>
      </c>
      <c r="V63" s="57" t="s">
        <v>697</v>
      </c>
      <c r="W63" s="57" t="s">
        <v>704</v>
      </c>
      <c r="X63" s="57" t="s">
        <v>697</v>
      </c>
      <c r="Y63" s="57" t="s">
        <v>705</v>
      </c>
      <c r="Z63" s="57" t="s">
        <v>706</v>
      </c>
      <c r="AA63" s="187">
        <v>496078.8</v>
      </c>
      <c r="AB63" s="187">
        <v>200000</v>
      </c>
      <c r="AC63" s="57" t="s">
        <v>716</v>
      </c>
      <c r="AD63" s="57" t="s">
        <v>707</v>
      </c>
      <c r="AE63" s="57" t="s">
        <v>707</v>
      </c>
      <c r="AF63" s="57" t="s">
        <v>707</v>
      </c>
      <c r="AG63" s="57" t="s">
        <v>707</v>
      </c>
      <c r="AH63" s="57" t="s">
        <v>707</v>
      </c>
      <c r="AI63" s="57"/>
      <c r="AJ63" s="57"/>
      <c r="AK63" s="57"/>
      <c r="AL63" s="57"/>
    </row>
    <row r="64" spans="1:38" x14ac:dyDescent="0.35">
      <c r="A64" s="175">
        <v>62</v>
      </c>
      <c r="B64" s="57" t="s">
        <v>984</v>
      </c>
      <c r="C64" s="57" t="s">
        <v>985</v>
      </c>
      <c r="D64" s="57" t="s">
        <v>719</v>
      </c>
      <c r="E64" s="57" t="s">
        <v>697</v>
      </c>
      <c r="F64" s="57" t="s">
        <v>697</v>
      </c>
      <c r="G64" s="57" t="s">
        <v>697</v>
      </c>
      <c r="H64" s="57" t="s">
        <v>986</v>
      </c>
      <c r="I64" s="57" t="s">
        <v>719</v>
      </c>
      <c r="J64" s="57" t="s">
        <v>697</v>
      </c>
      <c r="K64" s="57" t="s">
        <v>697</v>
      </c>
      <c r="L64" s="57" t="s">
        <v>721</v>
      </c>
      <c r="M64" s="57" t="s">
        <v>784</v>
      </c>
      <c r="N64" s="58">
        <v>2</v>
      </c>
      <c r="O64" s="56">
        <v>39627</v>
      </c>
      <c r="P64" s="56">
        <v>37801</v>
      </c>
      <c r="Q64" s="57" t="s">
        <v>700</v>
      </c>
      <c r="R64" s="177">
        <v>67.239999999999995</v>
      </c>
      <c r="S64" s="57" t="s">
        <v>697</v>
      </c>
      <c r="T64" s="57" t="s">
        <v>987</v>
      </c>
      <c r="U64" s="57" t="s">
        <v>988</v>
      </c>
      <c r="V64" s="57" t="s">
        <v>697</v>
      </c>
      <c r="W64" s="57" t="s">
        <v>704</v>
      </c>
      <c r="X64" s="57" t="s">
        <v>697</v>
      </c>
      <c r="Y64" s="57" t="s">
        <v>705</v>
      </c>
      <c r="Z64" s="57" t="s">
        <v>706</v>
      </c>
      <c r="AA64" s="187">
        <v>89864.459999999992</v>
      </c>
      <c r="AB64" s="187">
        <v>200000</v>
      </c>
      <c r="AC64" s="57" t="s">
        <v>716</v>
      </c>
      <c r="AD64" s="57" t="s">
        <v>707</v>
      </c>
      <c r="AE64" s="57" t="s">
        <v>707</v>
      </c>
      <c r="AF64" s="57" t="s">
        <v>707</v>
      </c>
      <c r="AG64" s="57" t="s">
        <v>707</v>
      </c>
      <c r="AH64" s="57" t="s">
        <v>707</v>
      </c>
      <c r="AI64" s="57" t="s">
        <v>707</v>
      </c>
      <c r="AJ64" s="57" t="s">
        <v>707</v>
      </c>
      <c r="AK64" s="57" t="s">
        <v>707</v>
      </c>
      <c r="AL64" s="57" t="s">
        <v>707</v>
      </c>
    </row>
    <row r="65" spans="1:38" x14ac:dyDescent="0.35">
      <c r="A65" s="175">
        <v>63</v>
      </c>
      <c r="B65" s="57" t="s">
        <v>817</v>
      </c>
      <c r="C65" s="57" t="s">
        <v>989</v>
      </c>
      <c r="D65" s="57" t="s">
        <v>767</v>
      </c>
      <c r="E65" s="57" t="s">
        <v>697</v>
      </c>
      <c r="F65" s="57" t="s">
        <v>697</v>
      </c>
      <c r="G65" s="57" t="s">
        <v>697</v>
      </c>
      <c r="H65" s="57" t="s">
        <v>819</v>
      </c>
      <c r="I65" s="57" t="s">
        <v>767</v>
      </c>
      <c r="J65" s="57" t="s">
        <v>697</v>
      </c>
      <c r="K65" s="57" t="s">
        <v>697</v>
      </c>
      <c r="L65" s="57" t="s">
        <v>767</v>
      </c>
      <c r="M65" s="57" t="s">
        <v>990</v>
      </c>
      <c r="N65" s="58">
        <v>2</v>
      </c>
      <c r="O65" s="56">
        <v>32323</v>
      </c>
      <c r="P65" s="56">
        <v>31593</v>
      </c>
      <c r="Q65" s="57" t="s">
        <v>700</v>
      </c>
      <c r="R65" s="177">
        <v>15</v>
      </c>
      <c r="S65" s="57" t="s">
        <v>697</v>
      </c>
      <c r="T65" s="57" t="s">
        <v>883</v>
      </c>
      <c r="U65" s="57" t="s">
        <v>920</v>
      </c>
      <c r="V65" s="57" t="s">
        <v>697</v>
      </c>
      <c r="W65" s="57" t="s">
        <v>704</v>
      </c>
      <c r="X65" s="57" t="s">
        <v>697</v>
      </c>
      <c r="Y65" s="57" t="s">
        <v>705</v>
      </c>
      <c r="Z65" s="57" t="s">
        <v>706</v>
      </c>
      <c r="AA65" s="187">
        <v>76650</v>
      </c>
      <c r="AB65" s="187">
        <v>200000</v>
      </c>
      <c r="AC65" s="57" t="s">
        <v>716</v>
      </c>
      <c r="AD65" s="57" t="s">
        <v>716</v>
      </c>
      <c r="AE65" s="57" t="s">
        <v>707</v>
      </c>
      <c r="AF65" s="57" t="s">
        <v>707</v>
      </c>
      <c r="AG65" s="57" t="s">
        <v>707</v>
      </c>
      <c r="AH65" s="57" t="s">
        <v>707</v>
      </c>
      <c r="AI65" s="57" t="s">
        <v>707</v>
      </c>
      <c r="AJ65" s="57" t="s">
        <v>707</v>
      </c>
      <c r="AK65" s="57" t="s">
        <v>707</v>
      </c>
      <c r="AL65" s="57" t="s">
        <v>707</v>
      </c>
    </row>
    <row r="66" spans="1:38" x14ac:dyDescent="0.35">
      <c r="A66" s="175">
        <v>64</v>
      </c>
      <c r="B66" s="57" t="s">
        <v>817</v>
      </c>
      <c r="C66" s="57" t="s">
        <v>989</v>
      </c>
      <c r="D66" s="57" t="s">
        <v>767</v>
      </c>
      <c r="E66" s="57" t="s">
        <v>697</v>
      </c>
      <c r="F66" s="57" t="s">
        <v>697</v>
      </c>
      <c r="G66" s="57" t="s">
        <v>697</v>
      </c>
      <c r="H66" s="57" t="s">
        <v>819</v>
      </c>
      <c r="I66" s="57" t="s">
        <v>767</v>
      </c>
      <c r="J66" s="57" t="s">
        <v>697</v>
      </c>
      <c r="K66" s="57" t="s">
        <v>697</v>
      </c>
      <c r="L66" s="57" t="s">
        <v>767</v>
      </c>
      <c r="M66" s="57" t="s">
        <v>991</v>
      </c>
      <c r="N66" s="58">
        <v>2</v>
      </c>
      <c r="O66" s="56">
        <v>32323</v>
      </c>
      <c r="P66" s="56">
        <v>31593</v>
      </c>
      <c r="Q66" s="57" t="s">
        <v>700</v>
      </c>
      <c r="R66" s="177">
        <v>15</v>
      </c>
      <c r="S66" s="57" t="s">
        <v>697</v>
      </c>
      <c r="T66" s="57" t="s">
        <v>883</v>
      </c>
      <c r="U66" s="57" t="s">
        <v>920</v>
      </c>
      <c r="V66" s="57" t="s">
        <v>697</v>
      </c>
      <c r="W66" s="57" t="s">
        <v>704</v>
      </c>
      <c r="X66" s="57" t="s">
        <v>697</v>
      </c>
      <c r="Y66" s="57" t="s">
        <v>705</v>
      </c>
      <c r="Z66" s="57" t="s">
        <v>706</v>
      </c>
      <c r="AA66" s="187">
        <v>76650</v>
      </c>
      <c r="AB66" s="187">
        <v>200000</v>
      </c>
      <c r="AC66" s="57" t="s">
        <v>716</v>
      </c>
      <c r="AD66" s="57" t="s">
        <v>716</v>
      </c>
      <c r="AE66" s="57" t="s">
        <v>707</v>
      </c>
      <c r="AF66" s="57" t="s">
        <v>707</v>
      </c>
      <c r="AG66" s="57" t="s">
        <v>707</v>
      </c>
      <c r="AH66" s="57" t="s">
        <v>707</v>
      </c>
      <c r="AI66" s="57" t="s">
        <v>707</v>
      </c>
      <c r="AJ66" s="57" t="s">
        <v>707</v>
      </c>
      <c r="AK66" s="57" t="s">
        <v>707</v>
      </c>
      <c r="AL66" s="57" t="s">
        <v>707</v>
      </c>
    </row>
    <row r="67" spans="1:38" x14ac:dyDescent="0.35">
      <c r="A67" s="175">
        <v>65</v>
      </c>
      <c r="B67" s="57" t="s">
        <v>817</v>
      </c>
      <c r="C67" s="57" t="s">
        <v>992</v>
      </c>
      <c r="D67" s="57" t="s">
        <v>767</v>
      </c>
      <c r="E67" s="57" t="s">
        <v>697</v>
      </c>
      <c r="F67" s="57" t="s">
        <v>697</v>
      </c>
      <c r="G67" s="57" t="s">
        <v>697</v>
      </c>
      <c r="H67" s="57" t="s">
        <v>819</v>
      </c>
      <c r="I67" s="57" t="s">
        <v>767</v>
      </c>
      <c r="J67" s="57" t="s">
        <v>697</v>
      </c>
      <c r="K67" s="57" t="s">
        <v>697</v>
      </c>
      <c r="L67" s="57" t="s">
        <v>767</v>
      </c>
      <c r="M67" s="57" t="s">
        <v>993</v>
      </c>
      <c r="N67" s="58">
        <v>2</v>
      </c>
      <c r="O67" s="56">
        <v>32323</v>
      </c>
      <c r="P67" s="56">
        <v>31593</v>
      </c>
      <c r="Q67" s="57" t="s">
        <v>700</v>
      </c>
      <c r="R67" s="177">
        <v>15</v>
      </c>
      <c r="S67" s="57" t="s">
        <v>697</v>
      </c>
      <c r="T67" s="57" t="s">
        <v>883</v>
      </c>
      <c r="U67" s="57" t="s">
        <v>920</v>
      </c>
      <c r="V67" s="57" t="s">
        <v>697</v>
      </c>
      <c r="W67" s="57" t="s">
        <v>704</v>
      </c>
      <c r="X67" s="57" t="s">
        <v>697</v>
      </c>
      <c r="Y67" s="57" t="s">
        <v>705</v>
      </c>
      <c r="Z67" s="57" t="s">
        <v>706</v>
      </c>
      <c r="AA67" s="187">
        <v>76650</v>
      </c>
      <c r="AB67" s="187">
        <v>200000</v>
      </c>
      <c r="AC67" s="57" t="s">
        <v>716</v>
      </c>
      <c r="AD67" s="57" t="s">
        <v>716</v>
      </c>
      <c r="AE67" s="57" t="s">
        <v>707</v>
      </c>
      <c r="AF67" s="57" t="s">
        <v>707</v>
      </c>
      <c r="AG67" s="57" t="s">
        <v>707</v>
      </c>
      <c r="AH67" s="57" t="s">
        <v>707</v>
      </c>
      <c r="AI67" s="57" t="s">
        <v>707</v>
      </c>
      <c r="AJ67" s="57" t="s">
        <v>707</v>
      </c>
      <c r="AK67" s="57" t="s">
        <v>707</v>
      </c>
      <c r="AL67" s="57" t="s">
        <v>707</v>
      </c>
    </row>
    <row r="68" spans="1:38" ht="116" x14ac:dyDescent="0.35">
      <c r="A68" s="175">
        <v>66</v>
      </c>
      <c r="B68" s="57" t="s">
        <v>994</v>
      </c>
      <c r="C68" s="57" t="s">
        <v>995</v>
      </c>
      <c r="D68" s="57" t="s">
        <v>996</v>
      </c>
      <c r="E68" s="57" t="s">
        <v>697</v>
      </c>
      <c r="F68" s="57" t="s">
        <v>697</v>
      </c>
      <c r="G68" s="57" t="s">
        <v>697</v>
      </c>
      <c r="H68" s="57" t="s">
        <v>997</v>
      </c>
      <c r="I68" s="57" t="s">
        <v>360</v>
      </c>
      <c r="J68" s="57" t="s">
        <v>697</v>
      </c>
      <c r="K68" s="57" t="s">
        <v>697</v>
      </c>
      <c r="L68" s="57" t="s">
        <v>148</v>
      </c>
      <c r="M68" s="57" t="s">
        <v>998</v>
      </c>
      <c r="N68" s="58">
        <v>2</v>
      </c>
      <c r="O68" s="56" t="s">
        <v>999</v>
      </c>
      <c r="P68" s="56" t="s">
        <v>1000</v>
      </c>
      <c r="Q68" s="57" t="s">
        <v>700</v>
      </c>
      <c r="R68" s="177">
        <v>5</v>
      </c>
      <c r="S68" s="57" t="s">
        <v>697</v>
      </c>
      <c r="T68" s="57" t="s">
        <v>1001</v>
      </c>
      <c r="U68" s="176" t="s">
        <v>1002</v>
      </c>
      <c r="V68" s="57" t="s">
        <v>697</v>
      </c>
      <c r="W68" s="57" t="s">
        <v>704</v>
      </c>
      <c r="X68" s="57" t="s">
        <v>697</v>
      </c>
      <c r="Y68" s="57" t="s">
        <v>705</v>
      </c>
      <c r="Z68" s="57" t="s">
        <v>706</v>
      </c>
      <c r="AA68" s="187">
        <v>76650</v>
      </c>
      <c r="AB68" s="187">
        <v>200000</v>
      </c>
      <c r="AC68" s="57" t="s">
        <v>716</v>
      </c>
      <c r="AD68" s="57" t="s">
        <v>716</v>
      </c>
      <c r="AE68" s="57" t="s">
        <v>716</v>
      </c>
      <c r="AF68" s="57" t="s">
        <v>716</v>
      </c>
      <c r="AG68" s="57" t="s">
        <v>716</v>
      </c>
      <c r="AH68" s="57" t="s">
        <v>716</v>
      </c>
      <c r="AI68" s="57" t="s">
        <v>716</v>
      </c>
      <c r="AJ68" s="57" t="s">
        <v>716</v>
      </c>
      <c r="AK68" s="57" t="s">
        <v>716</v>
      </c>
      <c r="AL68" s="57" t="s">
        <v>716</v>
      </c>
    </row>
    <row r="69" spans="1:38" ht="116" x14ac:dyDescent="0.35">
      <c r="A69" s="175">
        <v>67</v>
      </c>
      <c r="B69" s="57" t="s">
        <v>994</v>
      </c>
      <c r="C69" s="57" t="s">
        <v>995</v>
      </c>
      <c r="D69" s="57" t="s">
        <v>1003</v>
      </c>
      <c r="E69" s="57" t="s">
        <v>697</v>
      </c>
      <c r="F69" s="57" t="s">
        <v>697</v>
      </c>
      <c r="G69" s="57" t="s">
        <v>697</v>
      </c>
      <c r="H69" s="57" t="s">
        <v>1004</v>
      </c>
      <c r="I69" s="57" t="s">
        <v>1005</v>
      </c>
      <c r="J69" s="57" t="s">
        <v>697</v>
      </c>
      <c r="K69" s="57" t="s">
        <v>697</v>
      </c>
      <c r="L69" s="57" t="s">
        <v>28</v>
      </c>
      <c r="M69" s="57" t="s">
        <v>1006</v>
      </c>
      <c r="N69" s="58">
        <v>1</v>
      </c>
      <c r="O69" s="56">
        <v>29498</v>
      </c>
      <c r="P69" s="56">
        <v>29163</v>
      </c>
      <c r="Q69" s="57" t="s">
        <v>700</v>
      </c>
      <c r="R69" s="177">
        <v>7.57</v>
      </c>
      <c r="S69" s="57" t="s">
        <v>697</v>
      </c>
      <c r="T69" s="57" t="s">
        <v>663</v>
      </c>
      <c r="U69" s="176" t="s">
        <v>1002</v>
      </c>
      <c r="V69" s="57" t="s">
        <v>697</v>
      </c>
      <c r="W69" s="57" t="s">
        <v>704</v>
      </c>
      <c r="X69" s="57" t="s">
        <v>697</v>
      </c>
      <c r="Y69" s="57" t="s">
        <v>705</v>
      </c>
      <c r="Z69" s="57" t="s">
        <v>706</v>
      </c>
      <c r="AA69" s="187">
        <v>76650</v>
      </c>
      <c r="AB69" s="187">
        <v>200000</v>
      </c>
      <c r="AC69" s="57" t="s">
        <v>716</v>
      </c>
      <c r="AD69" s="57" t="s">
        <v>716</v>
      </c>
      <c r="AE69" s="57" t="s">
        <v>716</v>
      </c>
      <c r="AF69" s="57" t="s">
        <v>716</v>
      </c>
      <c r="AG69" s="57" t="s">
        <v>716</v>
      </c>
      <c r="AH69" s="57" t="s">
        <v>716</v>
      </c>
      <c r="AI69" s="57" t="s">
        <v>716</v>
      </c>
      <c r="AJ69" s="57" t="s">
        <v>716</v>
      </c>
      <c r="AK69" s="57" t="s">
        <v>716</v>
      </c>
      <c r="AL69" s="57" t="s">
        <v>716</v>
      </c>
    </row>
    <row r="70" spans="1:38" x14ac:dyDescent="0.35">
      <c r="A70" s="175">
        <v>68</v>
      </c>
      <c r="B70" s="57" t="s">
        <v>1007</v>
      </c>
      <c r="C70" s="57" t="s">
        <v>1008</v>
      </c>
      <c r="D70" s="57" t="s">
        <v>428</v>
      </c>
      <c r="E70" s="57" t="s">
        <v>697</v>
      </c>
      <c r="F70" s="57">
        <v>1870211</v>
      </c>
      <c r="G70" s="57" t="s">
        <v>697</v>
      </c>
      <c r="H70" s="57" t="s">
        <v>1009</v>
      </c>
      <c r="I70" s="57" t="s">
        <v>18</v>
      </c>
      <c r="J70" s="57" t="s">
        <v>697</v>
      </c>
      <c r="K70" s="57" t="s">
        <v>697</v>
      </c>
      <c r="L70" s="57" t="s">
        <v>18</v>
      </c>
      <c r="M70" s="57" t="s">
        <v>1010</v>
      </c>
      <c r="N70" s="58">
        <v>2</v>
      </c>
      <c r="O70" s="56">
        <v>45089</v>
      </c>
      <c r="P70" s="56">
        <v>44389</v>
      </c>
      <c r="Q70" s="57" t="s">
        <v>700</v>
      </c>
      <c r="R70" s="177">
        <v>5465</v>
      </c>
      <c r="S70" s="57" t="s">
        <v>697</v>
      </c>
      <c r="T70" s="57" t="s">
        <v>945</v>
      </c>
      <c r="U70" s="57" t="s">
        <v>1011</v>
      </c>
      <c r="V70" s="57" t="s">
        <v>724</v>
      </c>
      <c r="W70" s="57" t="s">
        <v>704</v>
      </c>
      <c r="X70" s="57" t="s">
        <v>697</v>
      </c>
      <c r="Y70" s="57" t="s">
        <v>705</v>
      </c>
      <c r="Z70" s="57" t="s">
        <v>706</v>
      </c>
      <c r="AA70" s="178">
        <v>2869265</v>
      </c>
      <c r="AB70" s="178">
        <v>0</v>
      </c>
      <c r="AC70" s="57" t="s">
        <v>716</v>
      </c>
      <c r="AD70" s="57" t="s">
        <v>716</v>
      </c>
      <c r="AE70" s="57" t="s">
        <v>716</v>
      </c>
      <c r="AF70" s="57"/>
      <c r="AG70" s="57"/>
      <c r="AH70" s="57"/>
      <c r="AI70" s="57"/>
      <c r="AJ70" s="57"/>
      <c r="AK70" s="57"/>
      <c r="AL70" s="57"/>
    </row>
    <row r="71" spans="1:38" x14ac:dyDescent="0.35">
      <c r="A71" s="175">
        <v>69</v>
      </c>
      <c r="B71" s="57" t="s">
        <v>1007</v>
      </c>
      <c r="C71" s="57" t="s">
        <v>1012</v>
      </c>
      <c r="D71" s="57" t="s">
        <v>428</v>
      </c>
      <c r="E71" s="57" t="s">
        <v>697</v>
      </c>
      <c r="F71" s="57">
        <v>1870211</v>
      </c>
      <c r="G71" s="57" t="s">
        <v>697</v>
      </c>
      <c r="H71" s="57" t="s">
        <v>1009</v>
      </c>
      <c r="I71" s="57" t="s">
        <v>18</v>
      </c>
      <c r="J71" s="57" t="s">
        <v>697</v>
      </c>
      <c r="K71" s="57" t="s">
        <v>697</v>
      </c>
      <c r="L71" s="57" t="s">
        <v>18</v>
      </c>
      <c r="M71" s="57" t="s">
        <v>1013</v>
      </c>
      <c r="N71" s="58">
        <v>2</v>
      </c>
      <c r="O71" s="56">
        <v>45089</v>
      </c>
      <c r="P71" s="56">
        <v>44389</v>
      </c>
      <c r="Q71" s="57" t="s">
        <v>700</v>
      </c>
      <c r="R71" s="177">
        <v>5465</v>
      </c>
      <c r="S71" s="57" t="s">
        <v>697</v>
      </c>
      <c r="T71" s="57" t="s">
        <v>945</v>
      </c>
      <c r="U71" s="57" t="s">
        <v>1011</v>
      </c>
      <c r="V71" s="57" t="s">
        <v>724</v>
      </c>
      <c r="W71" s="57" t="s">
        <v>704</v>
      </c>
      <c r="X71" s="57" t="s">
        <v>697</v>
      </c>
      <c r="Y71" s="57" t="s">
        <v>705</v>
      </c>
      <c r="Z71" s="57" t="s">
        <v>706</v>
      </c>
      <c r="AA71" s="178">
        <v>2869265</v>
      </c>
      <c r="AB71" s="178">
        <v>0</v>
      </c>
      <c r="AC71" s="57" t="s">
        <v>716</v>
      </c>
      <c r="AD71" s="57" t="s">
        <v>716</v>
      </c>
      <c r="AE71" s="57" t="s">
        <v>716</v>
      </c>
      <c r="AF71" s="57"/>
      <c r="AG71" s="57"/>
      <c r="AH71" s="57"/>
      <c r="AI71" s="57"/>
      <c r="AJ71" s="57"/>
      <c r="AK71" s="57"/>
      <c r="AL71" s="57"/>
    </row>
    <row r="72" spans="1:38" x14ac:dyDescent="0.35">
      <c r="A72" s="175">
        <v>70</v>
      </c>
      <c r="B72" s="57" t="s">
        <v>1007</v>
      </c>
      <c r="C72" s="57" t="s">
        <v>1014</v>
      </c>
      <c r="D72" s="57" t="s">
        <v>428</v>
      </c>
      <c r="E72" s="57" t="s">
        <v>697</v>
      </c>
      <c r="F72" s="57">
        <v>1870211</v>
      </c>
      <c r="G72" s="57" t="s">
        <v>697</v>
      </c>
      <c r="H72" s="57" t="s">
        <v>1009</v>
      </c>
      <c r="I72" s="57" t="s">
        <v>18</v>
      </c>
      <c r="J72" s="57" t="s">
        <v>697</v>
      </c>
      <c r="K72" s="57" t="s">
        <v>697</v>
      </c>
      <c r="L72" s="57" t="s">
        <v>18</v>
      </c>
      <c r="M72" s="57" t="s">
        <v>1015</v>
      </c>
      <c r="N72" s="58">
        <v>2</v>
      </c>
      <c r="O72" s="56">
        <v>45089</v>
      </c>
      <c r="P72" s="56">
        <v>44389</v>
      </c>
      <c r="Q72" s="57" t="s">
        <v>700</v>
      </c>
      <c r="R72" s="177">
        <v>5465</v>
      </c>
      <c r="S72" s="57" t="s">
        <v>697</v>
      </c>
      <c r="T72" s="57" t="s">
        <v>945</v>
      </c>
      <c r="U72" s="57" t="s">
        <v>1011</v>
      </c>
      <c r="V72" s="57" t="s">
        <v>724</v>
      </c>
      <c r="W72" s="57" t="s">
        <v>704</v>
      </c>
      <c r="X72" s="57" t="s">
        <v>697</v>
      </c>
      <c r="Y72" s="57" t="s">
        <v>705</v>
      </c>
      <c r="Z72" s="57" t="s">
        <v>706</v>
      </c>
      <c r="AA72" s="178">
        <v>2869265</v>
      </c>
      <c r="AB72" s="178">
        <v>0</v>
      </c>
      <c r="AC72" s="57" t="s">
        <v>716</v>
      </c>
      <c r="AD72" s="57" t="s">
        <v>716</v>
      </c>
      <c r="AE72" s="57" t="s">
        <v>716</v>
      </c>
      <c r="AF72" s="57"/>
      <c r="AG72" s="57"/>
      <c r="AH72" s="57"/>
      <c r="AI72" s="57"/>
      <c r="AJ72" s="57"/>
      <c r="AK72" s="57"/>
      <c r="AL72" s="57"/>
    </row>
    <row r="73" spans="1:38" x14ac:dyDescent="0.35">
      <c r="A73" s="175">
        <v>71</v>
      </c>
      <c r="B73" s="57" t="s">
        <v>1007</v>
      </c>
      <c r="C73" s="57" t="s">
        <v>1016</v>
      </c>
      <c r="D73" s="57" t="s">
        <v>428</v>
      </c>
      <c r="E73" s="57" t="s">
        <v>697</v>
      </c>
      <c r="F73" s="57">
        <v>1870211</v>
      </c>
      <c r="G73" s="57" t="s">
        <v>697</v>
      </c>
      <c r="H73" s="57" t="s">
        <v>1009</v>
      </c>
      <c r="I73" s="57" t="s">
        <v>18</v>
      </c>
      <c r="J73" s="57" t="s">
        <v>697</v>
      </c>
      <c r="K73" s="57" t="s">
        <v>697</v>
      </c>
      <c r="L73" s="57" t="s">
        <v>18</v>
      </c>
      <c r="M73" s="57" t="s">
        <v>1017</v>
      </c>
      <c r="N73" s="58">
        <v>2</v>
      </c>
      <c r="O73" s="56">
        <v>45089</v>
      </c>
      <c r="P73" s="56">
        <v>44389</v>
      </c>
      <c r="Q73" s="57" t="s">
        <v>700</v>
      </c>
      <c r="R73" s="177">
        <v>5465</v>
      </c>
      <c r="S73" s="57" t="s">
        <v>697</v>
      </c>
      <c r="T73" s="57" t="s">
        <v>945</v>
      </c>
      <c r="U73" s="57" t="s">
        <v>1011</v>
      </c>
      <c r="V73" s="57" t="s">
        <v>724</v>
      </c>
      <c r="W73" s="57" t="s">
        <v>704</v>
      </c>
      <c r="X73" s="57" t="s">
        <v>697</v>
      </c>
      <c r="Y73" s="57" t="s">
        <v>705</v>
      </c>
      <c r="Z73" s="57" t="s">
        <v>706</v>
      </c>
      <c r="AA73" s="178">
        <v>2869265</v>
      </c>
      <c r="AB73" s="178">
        <v>0</v>
      </c>
      <c r="AC73" s="57" t="s">
        <v>716</v>
      </c>
      <c r="AD73" s="57" t="s">
        <v>716</v>
      </c>
      <c r="AE73" s="57" t="s">
        <v>716</v>
      </c>
      <c r="AF73" s="57"/>
      <c r="AG73" s="57"/>
      <c r="AH73" s="57"/>
      <c r="AI73" s="57"/>
      <c r="AJ73" s="57"/>
      <c r="AK73" s="57"/>
      <c r="AL73" s="57"/>
    </row>
    <row r="74" spans="1:38" x14ac:dyDescent="0.35">
      <c r="A74" s="175">
        <v>72</v>
      </c>
      <c r="B74" s="57" t="s">
        <v>1007</v>
      </c>
      <c r="C74" s="57" t="s">
        <v>1018</v>
      </c>
      <c r="D74" s="57" t="s">
        <v>428</v>
      </c>
      <c r="E74" s="57" t="s">
        <v>697</v>
      </c>
      <c r="F74" s="57">
        <v>1870211</v>
      </c>
      <c r="G74" s="57" t="s">
        <v>697</v>
      </c>
      <c r="H74" s="57" t="s">
        <v>1009</v>
      </c>
      <c r="I74" s="57" t="s">
        <v>18</v>
      </c>
      <c r="J74" s="57" t="s">
        <v>697</v>
      </c>
      <c r="K74" s="57" t="s">
        <v>697</v>
      </c>
      <c r="L74" s="57" t="s">
        <v>18</v>
      </c>
      <c r="M74" s="57" t="s">
        <v>1019</v>
      </c>
      <c r="N74" s="58">
        <v>2</v>
      </c>
      <c r="O74" s="56">
        <v>45089</v>
      </c>
      <c r="P74" s="56">
        <v>44389</v>
      </c>
      <c r="Q74" s="57" t="s">
        <v>700</v>
      </c>
      <c r="R74" s="177">
        <v>6000</v>
      </c>
      <c r="S74" s="57" t="s">
        <v>697</v>
      </c>
      <c r="T74" s="57" t="s">
        <v>945</v>
      </c>
      <c r="U74" s="57" t="s">
        <v>1011</v>
      </c>
      <c r="V74" s="57" t="s">
        <v>724</v>
      </c>
      <c r="W74" s="57" t="s">
        <v>704</v>
      </c>
      <c r="X74" s="57" t="s">
        <v>697</v>
      </c>
      <c r="Y74" s="57" t="s">
        <v>705</v>
      </c>
      <c r="Z74" s="57" t="s">
        <v>706</v>
      </c>
      <c r="AA74" s="178">
        <v>3142650</v>
      </c>
      <c r="AB74" s="178">
        <v>0</v>
      </c>
      <c r="AC74" s="57" t="s">
        <v>716</v>
      </c>
      <c r="AD74" s="57" t="s">
        <v>716</v>
      </c>
      <c r="AE74" s="57" t="s">
        <v>716</v>
      </c>
      <c r="AF74" s="57"/>
      <c r="AG74" s="57"/>
      <c r="AH74" s="57"/>
      <c r="AI74" s="57"/>
      <c r="AJ74" s="57"/>
      <c r="AK74" s="57"/>
      <c r="AL74" s="57"/>
    </row>
    <row r="75" spans="1:38" x14ac:dyDescent="0.35">
      <c r="A75" s="175">
        <v>73</v>
      </c>
      <c r="B75" s="57" t="s">
        <v>1007</v>
      </c>
      <c r="C75" s="57" t="s">
        <v>1020</v>
      </c>
      <c r="D75" s="57" t="s">
        <v>428</v>
      </c>
      <c r="E75" s="57" t="s">
        <v>697</v>
      </c>
      <c r="F75" s="57">
        <v>1870211</v>
      </c>
      <c r="G75" s="57" t="s">
        <v>697</v>
      </c>
      <c r="H75" s="57" t="s">
        <v>1009</v>
      </c>
      <c r="I75" s="57" t="s">
        <v>18</v>
      </c>
      <c r="J75" s="57" t="s">
        <v>697</v>
      </c>
      <c r="K75" s="57" t="s">
        <v>697</v>
      </c>
      <c r="L75" s="57" t="s">
        <v>18</v>
      </c>
      <c r="M75" s="57" t="s">
        <v>1021</v>
      </c>
      <c r="N75" s="58">
        <v>2</v>
      </c>
      <c r="O75" s="56">
        <v>45089</v>
      </c>
      <c r="P75" s="56">
        <v>44389</v>
      </c>
      <c r="Q75" s="57" t="s">
        <v>700</v>
      </c>
      <c r="R75" s="177">
        <v>6000</v>
      </c>
      <c r="S75" s="57" t="s">
        <v>697</v>
      </c>
      <c r="T75" s="57" t="s">
        <v>945</v>
      </c>
      <c r="U75" s="57" t="s">
        <v>1011</v>
      </c>
      <c r="V75" s="57" t="s">
        <v>724</v>
      </c>
      <c r="W75" s="57" t="s">
        <v>704</v>
      </c>
      <c r="X75" s="57" t="s">
        <v>697</v>
      </c>
      <c r="Y75" s="57" t="s">
        <v>705</v>
      </c>
      <c r="Z75" s="57" t="s">
        <v>706</v>
      </c>
      <c r="AA75" s="178">
        <v>3142650</v>
      </c>
      <c r="AB75" s="178">
        <v>0</v>
      </c>
      <c r="AC75" s="57" t="s">
        <v>716</v>
      </c>
      <c r="AD75" s="57" t="s">
        <v>716</v>
      </c>
      <c r="AE75" s="57" t="s">
        <v>716</v>
      </c>
      <c r="AF75" s="57"/>
      <c r="AG75" s="57"/>
      <c r="AH75" s="57"/>
      <c r="AI75" s="57"/>
      <c r="AJ75" s="57"/>
      <c r="AK75" s="57"/>
      <c r="AL75" s="57"/>
    </row>
    <row r="76" spans="1:38" x14ac:dyDescent="0.35">
      <c r="A76" s="175">
        <v>74</v>
      </c>
      <c r="B76" s="57" t="s">
        <v>1007</v>
      </c>
      <c r="C76" s="57" t="s">
        <v>1022</v>
      </c>
      <c r="D76" s="57" t="s">
        <v>428</v>
      </c>
      <c r="E76" s="57" t="s">
        <v>697</v>
      </c>
      <c r="F76" s="57">
        <v>1870211</v>
      </c>
      <c r="G76" s="57" t="s">
        <v>697</v>
      </c>
      <c r="H76" s="57" t="s">
        <v>1009</v>
      </c>
      <c r="I76" s="57" t="s">
        <v>18</v>
      </c>
      <c r="J76" s="57" t="s">
        <v>697</v>
      </c>
      <c r="K76" s="57" t="s">
        <v>697</v>
      </c>
      <c r="L76" s="57" t="s">
        <v>18</v>
      </c>
      <c r="M76" s="57" t="s">
        <v>1023</v>
      </c>
      <c r="N76" s="58">
        <v>2</v>
      </c>
      <c r="O76" s="56">
        <v>45089</v>
      </c>
      <c r="P76" s="56">
        <v>44389</v>
      </c>
      <c r="Q76" s="57" t="s">
        <v>700</v>
      </c>
      <c r="R76" s="177">
        <v>5000</v>
      </c>
      <c r="S76" s="57" t="s">
        <v>697</v>
      </c>
      <c r="T76" s="57" t="s">
        <v>945</v>
      </c>
      <c r="U76" s="57" t="s">
        <v>1011</v>
      </c>
      <c r="V76" s="57" t="s">
        <v>724</v>
      </c>
      <c r="W76" s="57" t="s">
        <v>704</v>
      </c>
      <c r="X76" s="57" t="s">
        <v>697</v>
      </c>
      <c r="Y76" s="57" t="s">
        <v>705</v>
      </c>
      <c r="Z76" s="57" t="s">
        <v>706</v>
      </c>
      <c r="AA76" s="178">
        <v>2631650</v>
      </c>
      <c r="AB76" s="178">
        <v>0</v>
      </c>
      <c r="AC76" s="57" t="s">
        <v>716</v>
      </c>
      <c r="AD76" s="57" t="s">
        <v>716</v>
      </c>
      <c r="AE76" s="57" t="s">
        <v>716</v>
      </c>
      <c r="AF76" s="57"/>
      <c r="AG76" s="57"/>
      <c r="AH76" s="57"/>
      <c r="AI76" s="57"/>
      <c r="AJ76" s="57"/>
      <c r="AK76" s="57"/>
      <c r="AL76" s="57"/>
    </row>
    <row r="77" spans="1:38" x14ac:dyDescent="0.35">
      <c r="A77" s="175">
        <v>75</v>
      </c>
      <c r="B77" s="57" t="s">
        <v>1007</v>
      </c>
      <c r="C77" s="57" t="s">
        <v>1024</v>
      </c>
      <c r="D77" s="57" t="s">
        <v>428</v>
      </c>
      <c r="E77" s="57" t="s">
        <v>697</v>
      </c>
      <c r="F77" s="57">
        <v>1870211</v>
      </c>
      <c r="G77" s="57" t="s">
        <v>697</v>
      </c>
      <c r="H77" s="57" t="s">
        <v>1009</v>
      </c>
      <c r="I77" s="57" t="s">
        <v>18</v>
      </c>
      <c r="J77" s="57" t="s">
        <v>697</v>
      </c>
      <c r="K77" s="57" t="s">
        <v>697</v>
      </c>
      <c r="L77" s="57" t="s">
        <v>18</v>
      </c>
      <c r="M77" s="57" t="s">
        <v>1025</v>
      </c>
      <c r="N77" s="58">
        <v>2</v>
      </c>
      <c r="O77" s="56">
        <v>45089</v>
      </c>
      <c r="P77" s="56">
        <v>44389</v>
      </c>
      <c r="Q77" s="57" t="s">
        <v>700</v>
      </c>
      <c r="R77" s="177">
        <v>5000</v>
      </c>
      <c r="S77" s="57" t="s">
        <v>697</v>
      </c>
      <c r="T77" s="57" t="s">
        <v>945</v>
      </c>
      <c r="U77" s="57" t="s">
        <v>1011</v>
      </c>
      <c r="V77" s="57" t="s">
        <v>724</v>
      </c>
      <c r="W77" s="57" t="s">
        <v>704</v>
      </c>
      <c r="X77" s="57" t="s">
        <v>697</v>
      </c>
      <c r="Y77" s="57" t="s">
        <v>705</v>
      </c>
      <c r="Z77" s="57" t="s">
        <v>706</v>
      </c>
      <c r="AA77" s="178">
        <v>2631650</v>
      </c>
      <c r="AB77" s="178">
        <v>0</v>
      </c>
      <c r="AC77" s="57" t="s">
        <v>716</v>
      </c>
      <c r="AD77" s="57" t="s">
        <v>716</v>
      </c>
      <c r="AE77" s="57" t="s">
        <v>716</v>
      </c>
      <c r="AF77" s="57"/>
      <c r="AG77" s="57"/>
      <c r="AH77" s="57"/>
      <c r="AI77" s="57"/>
      <c r="AJ77" s="57"/>
      <c r="AK77" s="57"/>
      <c r="AL77" s="57"/>
    </row>
    <row r="78" spans="1:38" x14ac:dyDescent="0.35">
      <c r="A78" s="175">
        <v>76</v>
      </c>
      <c r="B78" s="57" t="s">
        <v>931</v>
      </c>
      <c r="C78" s="57" t="s">
        <v>1026</v>
      </c>
      <c r="D78" s="57" t="s">
        <v>1027</v>
      </c>
      <c r="E78" s="57" t="s">
        <v>697</v>
      </c>
      <c r="F78" s="57" t="s">
        <v>697</v>
      </c>
      <c r="G78" s="57" t="s">
        <v>697</v>
      </c>
      <c r="H78" s="57" t="s">
        <v>1028</v>
      </c>
      <c r="I78" s="57" t="s">
        <v>1027</v>
      </c>
      <c r="J78" s="57" t="s">
        <v>697</v>
      </c>
      <c r="K78" s="57" t="s">
        <v>697</v>
      </c>
      <c r="L78" s="57" t="s">
        <v>967</v>
      </c>
      <c r="M78" s="57" t="s">
        <v>1029</v>
      </c>
      <c r="N78" s="58">
        <v>2</v>
      </c>
      <c r="O78" s="188" t="s">
        <v>981</v>
      </c>
      <c r="P78" s="188">
        <v>43109</v>
      </c>
      <c r="Q78" s="57" t="s">
        <v>700</v>
      </c>
      <c r="R78" s="177">
        <v>40</v>
      </c>
      <c r="S78" s="57" t="s">
        <v>697</v>
      </c>
      <c r="T78" s="57" t="s">
        <v>945</v>
      </c>
      <c r="U78" s="57" t="s">
        <v>1030</v>
      </c>
      <c r="V78" s="57" t="s">
        <v>697</v>
      </c>
      <c r="W78" s="57" t="s">
        <v>704</v>
      </c>
      <c r="X78" s="57" t="s">
        <v>697</v>
      </c>
      <c r="Y78" s="57" t="s">
        <v>705</v>
      </c>
      <c r="Z78" s="57" t="s">
        <v>706</v>
      </c>
      <c r="AA78" s="164">
        <v>76650</v>
      </c>
      <c r="AB78" s="178">
        <v>200000</v>
      </c>
      <c r="AC78" s="57" t="s">
        <v>716</v>
      </c>
      <c r="AD78" s="57" t="s">
        <v>716</v>
      </c>
      <c r="AE78" s="57" t="s">
        <v>716</v>
      </c>
      <c r="AF78" s="57" t="s">
        <v>716</v>
      </c>
      <c r="AG78" s="57" t="s">
        <v>716</v>
      </c>
      <c r="AH78" s="57" t="s">
        <v>716</v>
      </c>
      <c r="AI78" s="57"/>
      <c r="AJ78" s="57"/>
      <c r="AK78" s="57"/>
      <c r="AL78" s="57"/>
    </row>
    <row r="79" spans="1:38" x14ac:dyDescent="0.35">
      <c r="A79" s="175">
        <v>77</v>
      </c>
      <c r="B79" s="57" t="s">
        <v>1031</v>
      </c>
      <c r="C79" s="57" t="s">
        <v>1032</v>
      </c>
      <c r="D79" s="57" t="s">
        <v>35</v>
      </c>
      <c r="E79" s="57" t="s">
        <v>697</v>
      </c>
      <c r="F79" s="57" t="s">
        <v>697</v>
      </c>
      <c r="G79" s="57" t="s">
        <v>697</v>
      </c>
      <c r="H79" s="57" t="s">
        <v>1033</v>
      </c>
      <c r="I79" s="57" t="s">
        <v>35</v>
      </c>
      <c r="J79" s="57" t="s">
        <v>697</v>
      </c>
      <c r="K79" s="57" t="s">
        <v>697</v>
      </c>
      <c r="L79" s="57" t="s">
        <v>35</v>
      </c>
      <c r="M79" s="57" t="s">
        <v>1034</v>
      </c>
      <c r="N79" s="58">
        <v>2</v>
      </c>
      <c r="O79" s="56">
        <v>43678</v>
      </c>
      <c r="P79" s="56">
        <v>42979</v>
      </c>
      <c r="Q79" s="57" t="s">
        <v>700</v>
      </c>
      <c r="R79" s="177">
        <v>15.5</v>
      </c>
      <c r="S79" s="57" t="s">
        <v>697</v>
      </c>
      <c r="T79" s="57" t="s">
        <v>1035</v>
      </c>
      <c r="U79" s="57" t="s">
        <v>1036</v>
      </c>
      <c r="V79" s="57" t="s">
        <v>697</v>
      </c>
      <c r="W79" s="57" t="s">
        <v>704</v>
      </c>
      <c r="X79" s="57" t="s">
        <v>697</v>
      </c>
      <c r="Y79" s="57" t="s">
        <v>705</v>
      </c>
      <c r="Z79" s="57" t="s">
        <v>706</v>
      </c>
      <c r="AA79" s="164">
        <v>76650</v>
      </c>
      <c r="AB79" s="178">
        <v>0</v>
      </c>
      <c r="AC79" s="57" t="s">
        <v>716</v>
      </c>
      <c r="AD79" s="57" t="s">
        <v>707</v>
      </c>
      <c r="AE79" s="57" t="s">
        <v>707</v>
      </c>
      <c r="AF79" s="57" t="s">
        <v>707</v>
      </c>
      <c r="AG79" s="57" t="s">
        <v>707</v>
      </c>
      <c r="AH79" s="57" t="s">
        <v>707</v>
      </c>
      <c r="AI79" s="57" t="s">
        <v>707</v>
      </c>
      <c r="AJ79" s="57"/>
      <c r="AK79" s="57"/>
      <c r="AL79" s="57"/>
    </row>
    <row r="80" spans="1:38" x14ac:dyDescent="0.35">
      <c r="A80" s="175">
        <v>78</v>
      </c>
      <c r="B80" s="57" t="s">
        <v>1037</v>
      </c>
      <c r="C80" s="57" t="s">
        <v>1038</v>
      </c>
      <c r="D80" s="57" t="s">
        <v>321</v>
      </c>
      <c r="E80" s="57" t="s">
        <v>697</v>
      </c>
      <c r="F80" s="57" t="s">
        <v>697</v>
      </c>
      <c r="G80" s="57" t="s">
        <v>697</v>
      </c>
      <c r="H80" s="57" t="s">
        <v>1039</v>
      </c>
      <c r="I80" s="57" t="s">
        <v>321</v>
      </c>
      <c r="J80" s="57" t="s">
        <v>697</v>
      </c>
      <c r="K80" s="57" t="s">
        <v>697</v>
      </c>
      <c r="L80" s="57" t="s">
        <v>35</v>
      </c>
      <c r="M80" s="57" t="s">
        <v>1040</v>
      </c>
      <c r="N80" s="58">
        <v>2</v>
      </c>
      <c r="O80" s="188" t="s">
        <v>981</v>
      </c>
      <c r="P80" s="188">
        <v>43109</v>
      </c>
      <c r="Q80" s="57" t="s">
        <v>700</v>
      </c>
      <c r="R80" s="177">
        <v>0.9</v>
      </c>
      <c r="S80" s="57" t="s">
        <v>697</v>
      </c>
      <c r="T80" s="57" t="s">
        <v>945</v>
      </c>
      <c r="U80" s="57" t="s">
        <v>1036</v>
      </c>
      <c r="V80" s="57" t="s">
        <v>724</v>
      </c>
      <c r="W80" s="57" t="s">
        <v>704</v>
      </c>
      <c r="X80" s="57" t="s">
        <v>697</v>
      </c>
      <c r="Y80" s="57" t="s">
        <v>725</v>
      </c>
      <c r="Z80" s="57" t="s">
        <v>706</v>
      </c>
      <c r="AA80" s="164">
        <v>76650</v>
      </c>
      <c r="AB80" s="178">
        <v>0</v>
      </c>
      <c r="AC80" s="57" t="s">
        <v>716</v>
      </c>
      <c r="AD80" s="57" t="s">
        <v>716</v>
      </c>
      <c r="AE80" s="57" t="s">
        <v>716</v>
      </c>
      <c r="AF80" s="57" t="s">
        <v>716</v>
      </c>
      <c r="AG80" s="57" t="s">
        <v>716</v>
      </c>
      <c r="AH80" s="57" t="s">
        <v>716</v>
      </c>
      <c r="AI80" s="57"/>
      <c r="AJ80" s="57"/>
      <c r="AK80" s="57"/>
      <c r="AL80" s="57"/>
    </row>
    <row r="81" spans="1:38" x14ac:dyDescent="0.35">
      <c r="A81" s="175">
        <v>79</v>
      </c>
      <c r="B81" s="57" t="s">
        <v>1041</v>
      </c>
      <c r="C81" s="57" t="s">
        <v>1042</v>
      </c>
      <c r="D81" s="57" t="s">
        <v>1043</v>
      </c>
      <c r="E81" s="57" t="s">
        <v>697</v>
      </c>
      <c r="F81" s="57" t="s">
        <v>697</v>
      </c>
      <c r="G81" s="57" t="s">
        <v>697</v>
      </c>
      <c r="H81" s="57" t="s">
        <v>1044</v>
      </c>
      <c r="I81" s="57" t="s">
        <v>906</v>
      </c>
      <c r="J81" s="57" t="s">
        <v>697</v>
      </c>
      <c r="K81" s="57" t="s">
        <v>697</v>
      </c>
      <c r="L81" s="57" t="s">
        <v>28</v>
      </c>
      <c r="M81" s="57" t="s">
        <v>1045</v>
      </c>
      <c r="N81" s="58">
        <v>2</v>
      </c>
      <c r="O81" s="56" t="s">
        <v>1046</v>
      </c>
      <c r="P81" s="56" t="s">
        <v>1047</v>
      </c>
      <c r="Q81" s="57" t="s">
        <v>1048</v>
      </c>
      <c r="R81" s="177">
        <v>1200</v>
      </c>
      <c r="S81" s="57" t="s">
        <v>697</v>
      </c>
      <c r="T81" s="57" t="s">
        <v>945</v>
      </c>
      <c r="U81" s="57" t="s">
        <v>1049</v>
      </c>
      <c r="V81" s="57" t="s">
        <v>724</v>
      </c>
      <c r="W81" s="57" t="s">
        <v>704</v>
      </c>
      <c r="X81" s="57" t="s">
        <v>697</v>
      </c>
      <c r="Y81" s="57" t="s">
        <v>725</v>
      </c>
      <c r="Z81" s="57" t="s">
        <v>706</v>
      </c>
      <c r="AA81" s="178">
        <v>919800</v>
      </c>
      <c r="AB81" s="178">
        <v>0</v>
      </c>
      <c r="AC81" s="57" t="s">
        <v>716</v>
      </c>
      <c r="AD81" s="57"/>
      <c r="AE81" s="57"/>
      <c r="AF81" s="57"/>
      <c r="AG81" s="57"/>
      <c r="AH81" s="57"/>
      <c r="AI81" s="57"/>
      <c r="AJ81" s="57"/>
      <c r="AK81" s="57"/>
      <c r="AL81" s="57"/>
    </row>
    <row r="82" spans="1:38" x14ac:dyDescent="0.35">
      <c r="A82" s="175">
        <v>80</v>
      </c>
      <c r="B82" s="57" t="s">
        <v>1041</v>
      </c>
      <c r="C82" s="57" t="s">
        <v>1050</v>
      </c>
      <c r="D82" s="57" t="s">
        <v>1043</v>
      </c>
      <c r="E82" s="57" t="s">
        <v>697</v>
      </c>
      <c r="F82" s="57" t="s">
        <v>697</v>
      </c>
      <c r="G82" s="57" t="s">
        <v>697</v>
      </c>
      <c r="H82" s="57" t="s">
        <v>1051</v>
      </c>
      <c r="I82" s="57" t="s">
        <v>1052</v>
      </c>
      <c r="J82" s="57" t="s">
        <v>697</v>
      </c>
      <c r="K82" s="57" t="s">
        <v>697</v>
      </c>
      <c r="L82" s="57" t="s">
        <v>28</v>
      </c>
      <c r="M82" s="57" t="s">
        <v>1053</v>
      </c>
      <c r="N82" s="58">
        <v>2</v>
      </c>
      <c r="O82" s="56" t="s">
        <v>1046</v>
      </c>
      <c r="P82" s="56" t="s">
        <v>1047</v>
      </c>
      <c r="Q82" s="57" t="s">
        <v>700</v>
      </c>
      <c r="R82" s="177">
        <v>3800</v>
      </c>
      <c r="S82" s="57" t="s">
        <v>697</v>
      </c>
      <c r="T82" s="57" t="s">
        <v>945</v>
      </c>
      <c r="U82" s="57" t="s">
        <v>1049</v>
      </c>
      <c r="V82" s="57" t="s">
        <v>724</v>
      </c>
      <c r="W82" s="57" t="s">
        <v>704</v>
      </c>
      <c r="X82" s="57" t="s">
        <v>697</v>
      </c>
      <c r="Y82" s="57" t="s">
        <v>725</v>
      </c>
      <c r="Z82" s="57" t="s">
        <v>706</v>
      </c>
      <c r="AA82" s="178">
        <v>2691266.67</v>
      </c>
      <c r="AB82" s="178">
        <v>0</v>
      </c>
      <c r="AC82" s="57" t="s">
        <v>716</v>
      </c>
      <c r="AD82" s="57"/>
      <c r="AE82" s="57"/>
      <c r="AF82" s="57"/>
      <c r="AG82" s="57"/>
      <c r="AH82" s="57"/>
      <c r="AI82" s="57"/>
      <c r="AJ82" s="57"/>
      <c r="AK82" s="57"/>
      <c r="AL82" s="57"/>
    </row>
    <row r="83" spans="1:38" x14ac:dyDescent="0.35">
      <c r="A83" s="175">
        <v>81</v>
      </c>
      <c r="B83" s="57" t="s">
        <v>1041</v>
      </c>
      <c r="C83" s="57" t="s">
        <v>1054</v>
      </c>
      <c r="D83" s="57" t="s">
        <v>1043</v>
      </c>
      <c r="E83" s="57" t="s">
        <v>697</v>
      </c>
      <c r="F83" s="57" t="s">
        <v>697</v>
      </c>
      <c r="G83" s="57" t="s">
        <v>697</v>
      </c>
      <c r="H83" s="57" t="s">
        <v>1055</v>
      </c>
      <c r="I83" s="57" t="s">
        <v>949</v>
      </c>
      <c r="J83" s="57" t="s">
        <v>697</v>
      </c>
      <c r="K83" s="57" t="s">
        <v>697</v>
      </c>
      <c r="L83" s="57" t="s">
        <v>28</v>
      </c>
      <c r="M83" s="57" t="s">
        <v>1056</v>
      </c>
      <c r="N83" s="58">
        <v>2</v>
      </c>
      <c r="O83" s="56" t="s">
        <v>1046</v>
      </c>
      <c r="P83" s="56" t="s">
        <v>1047</v>
      </c>
      <c r="Q83" s="57" t="s">
        <v>700</v>
      </c>
      <c r="R83" s="177">
        <v>600</v>
      </c>
      <c r="S83" s="57" t="s">
        <v>697</v>
      </c>
      <c r="T83" s="57" t="s">
        <v>945</v>
      </c>
      <c r="U83" s="57" t="s">
        <v>1049</v>
      </c>
      <c r="V83" s="57" t="s">
        <v>724</v>
      </c>
      <c r="W83" s="57" t="s">
        <v>704</v>
      </c>
      <c r="X83" s="57" t="s">
        <v>697</v>
      </c>
      <c r="Y83" s="57" t="s">
        <v>725</v>
      </c>
      <c r="Z83" s="57" t="s">
        <v>706</v>
      </c>
      <c r="AA83" s="178">
        <v>511000</v>
      </c>
      <c r="AB83" s="178">
        <v>0</v>
      </c>
      <c r="AC83" s="57" t="s">
        <v>716</v>
      </c>
      <c r="AD83" s="57"/>
      <c r="AE83" s="57"/>
      <c r="AF83" s="57"/>
      <c r="AG83" s="57"/>
      <c r="AH83" s="57"/>
      <c r="AI83" s="57"/>
      <c r="AJ83" s="57"/>
      <c r="AK83" s="57"/>
      <c r="AL83" s="57"/>
    </row>
    <row r="84" spans="1:38" x14ac:dyDescent="0.35">
      <c r="A84" s="175">
        <v>82</v>
      </c>
      <c r="B84" s="57" t="s">
        <v>931</v>
      </c>
      <c r="C84" s="57" t="s">
        <v>1057</v>
      </c>
      <c r="D84" s="57" t="s">
        <v>328</v>
      </c>
      <c r="E84" s="57" t="s">
        <v>697</v>
      </c>
      <c r="F84" s="57" t="s">
        <v>697</v>
      </c>
      <c r="G84" s="57" t="s">
        <v>697</v>
      </c>
      <c r="H84" s="57" t="s">
        <v>1058</v>
      </c>
      <c r="I84" s="57" t="s">
        <v>328</v>
      </c>
      <c r="J84" s="57" t="s">
        <v>697</v>
      </c>
      <c r="K84" s="57" t="s">
        <v>697</v>
      </c>
      <c r="L84" s="57" t="s">
        <v>18</v>
      </c>
      <c r="M84" s="57" t="s">
        <v>1059</v>
      </c>
      <c r="N84" s="58">
        <v>2</v>
      </c>
      <c r="O84" s="56">
        <v>45089</v>
      </c>
      <c r="P84" s="56">
        <v>44389</v>
      </c>
      <c r="Q84" s="57" t="s">
        <v>700</v>
      </c>
      <c r="R84" s="177">
        <v>1</v>
      </c>
      <c r="S84" s="57" t="s">
        <v>1060</v>
      </c>
      <c r="T84" s="57" t="s">
        <v>1061</v>
      </c>
      <c r="U84" s="57" t="s">
        <v>1062</v>
      </c>
      <c r="V84" s="57" t="s">
        <v>724</v>
      </c>
      <c r="W84" s="57" t="s">
        <v>704</v>
      </c>
      <c r="X84" s="57" t="s">
        <v>697</v>
      </c>
      <c r="Y84" s="57" t="s">
        <v>705</v>
      </c>
      <c r="Z84" s="57" t="s">
        <v>706</v>
      </c>
      <c r="AA84" s="164">
        <v>76650</v>
      </c>
      <c r="AB84" s="178">
        <v>200000</v>
      </c>
      <c r="AC84" s="57" t="s">
        <v>716</v>
      </c>
      <c r="AD84" s="57" t="s">
        <v>716</v>
      </c>
      <c r="AE84" s="57" t="s">
        <v>716</v>
      </c>
      <c r="AF84" s="57"/>
      <c r="AG84" s="57"/>
      <c r="AH84" s="57"/>
      <c r="AI84" s="57"/>
      <c r="AJ84" s="57"/>
      <c r="AK84" s="57"/>
      <c r="AL84" s="57"/>
    </row>
    <row r="85" spans="1:38" x14ac:dyDescent="0.35">
      <c r="A85" s="175">
        <v>83</v>
      </c>
      <c r="B85" s="57" t="s">
        <v>931</v>
      </c>
      <c r="C85" s="57" t="s">
        <v>1063</v>
      </c>
      <c r="D85" s="57" t="s">
        <v>1064</v>
      </c>
      <c r="E85" s="57" t="s">
        <v>697</v>
      </c>
      <c r="F85" s="57" t="s">
        <v>697</v>
      </c>
      <c r="G85" s="57" t="s">
        <v>697</v>
      </c>
      <c r="H85" s="57" t="s">
        <v>1065</v>
      </c>
      <c r="I85" s="57" t="s">
        <v>1064</v>
      </c>
      <c r="J85" s="57" t="s">
        <v>697</v>
      </c>
      <c r="K85" s="57" t="s">
        <v>697</v>
      </c>
      <c r="L85" s="57" t="s">
        <v>321</v>
      </c>
      <c r="M85" s="57" t="s">
        <v>1066</v>
      </c>
      <c r="N85" s="58">
        <v>2</v>
      </c>
      <c r="O85" s="189" t="s">
        <v>973</v>
      </c>
      <c r="P85" s="189">
        <v>43834</v>
      </c>
      <c r="Q85" s="57" t="s">
        <v>700</v>
      </c>
      <c r="R85" s="177">
        <v>215</v>
      </c>
      <c r="S85" s="57" t="s">
        <v>697</v>
      </c>
      <c r="T85" s="57" t="s">
        <v>1067</v>
      </c>
      <c r="U85" s="57" t="s">
        <v>1068</v>
      </c>
      <c r="V85" s="57" t="s">
        <v>724</v>
      </c>
      <c r="W85" s="57" t="s">
        <v>704</v>
      </c>
      <c r="X85" s="57" t="s">
        <v>697</v>
      </c>
      <c r="Y85" s="57" t="s">
        <v>725</v>
      </c>
      <c r="Z85" s="57" t="s">
        <v>706</v>
      </c>
      <c r="AA85" s="178">
        <v>186515</v>
      </c>
      <c r="AB85" s="178">
        <v>200000</v>
      </c>
      <c r="AC85" s="57" t="s">
        <v>716</v>
      </c>
      <c r="AD85" s="57" t="s">
        <v>716</v>
      </c>
      <c r="AE85" s="57" t="s">
        <v>716</v>
      </c>
      <c r="AF85" s="57" t="s">
        <v>716</v>
      </c>
      <c r="AG85" s="57"/>
      <c r="AH85" s="57"/>
      <c r="AI85" s="57"/>
      <c r="AJ85" s="57"/>
      <c r="AK85" s="57"/>
      <c r="AL85" s="57"/>
    </row>
    <row r="86" spans="1:38" x14ac:dyDescent="0.35">
      <c r="A86" s="175">
        <v>84</v>
      </c>
      <c r="B86" s="57" t="s">
        <v>1069</v>
      </c>
      <c r="C86" s="57" t="s">
        <v>1070</v>
      </c>
      <c r="D86" s="57" t="s">
        <v>744</v>
      </c>
      <c r="E86" s="57" t="s">
        <v>697</v>
      </c>
      <c r="F86" s="57" t="s">
        <v>697</v>
      </c>
      <c r="G86" s="57" t="s">
        <v>697</v>
      </c>
      <c r="H86" s="57" t="s">
        <v>971</v>
      </c>
      <c r="I86" s="57" t="s">
        <v>746</v>
      </c>
      <c r="J86" s="57" t="s">
        <v>697</v>
      </c>
      <c r="K86" s="57" t="s">
        <v>697</v>
      </c>
      <c r="L86" s="57" t="s">
        <v>747</v>
      </c>
      <c r="M86" s="57" t="s">
        <v>1071</v>
      </c>
      <c r="N86" s="58">
        <v>2</v>
      </c>
      <c r="O86" s="56">
        <v>42238</v>
      </c>
      <c r="P86" s="56">
        <v>41540</v>
      </c>
      <c r="Q86" s="57" t="s">
        <v>700</v>
      </c>
      <c r="R86" s="177">
        <v>250</v>
      </c>
      <c r="S86" s="57" t="s">
        <v>697</v>
      </c>
      <c r="T86" s="57" t="s">
        <v>1072</v>
      </c>
      <c r="U86" s="57" t="s">
        <v>1073</v>
      </c>
      <c r="V86" s="57" t="s">
        <v>724</v>
      </c>
      <c r="W86" s="57" t="s">
        <v>704</v>
      </c>
      <c r="X86" s="57" t="s">
        <v>697</v>
      </c>
      <c r="Y86" s="57" t="s">
        <v>705</v>
      </c>
      <c r="Z86" s="57" t="s">
        <v>706</v>
      </c>
      <c r="AA86" s="178">
        <v>204400</v>
      </c>
      <c r="AB86" s="178">
        <v>200000</v>
      </c>
      <c r="AC86" s="57" t="s">
        <v>716</v>
      </c>
      <c r="AD86" s="57" t="s">
        <v>716</v>
      </c>
      <c r="AE86" s="57" t="s">
        <v>716</v>
      </c>
      <c r="AF86" s="57" t="s">
        <v>716</v>
      </c>
      <c r="AG86" s="57" t="s">
        <v>716</v>
      </c>
      <c r="AH86" s="57" t="s">
        <v>716</v>
      </c>
      <c r="AI86" s="57" t="s">
        <v>716</v>
      </c>
      <c r="AJ86" s="57" t="s">
        <v>716</v>
      </c>
      <c r="AK86" s="57" t="s">
        <v>716</v>
      </c>
      <c r="AL86" s="57" t="s">
        <v>716</v>
      </c>
    </row>
    <row r="87" spans="1:38" x14ac:dyDescent="0.35">
      <c r="A87" s="175">
        <v>85</v>
      </c>
      <c r="B87" s="57" t="s">
        <v>1074</v>
      </c>
      <c r="C87" s="57" t="s">
        <v>1075</v>
      </c>
      <c r="D87" s="57" t="s">
        <v>28</v>
      </c>
      <c r="E87" s="57" t="s">
        <v>697</v>
      </c>
      <c r="F87" s="57" t="s">
        <v>697</v>
      </c>
      <c r="G87" s="57" t="s">
        <v>697</v>
      </c>
      <c r="H87" s="57" t="s">
        <v>1076</v>
      </c>
      <c r="I87" s="57" t="s">
        <v>906</v>
      </c>
      <c r="J87" s="57" t="s">
        <v>697</v>
      </c>
      <c r="K87" s="57" t="s">
        <v>697</v>
      </c>
      <c r="L87" s="57" t="s">
        <v>28</v>
      </c>
      <c r="M87" s="57" t="s">
        <v>1077</v>
      </c>
      <c r="N87" s="58">
        <v>2</v>
      </c>
      <c r="O87" s="56">
        <v>42238</v>
      </c>
      <c r="P87" s="56">
        <v>41540</v>
      </c>
      <c r="Q87" s="57" t="s">
        <v>700</v>
      </c>
      <c r="R87" s="177">
        <v>1.98</v>
      </c>
      <c r="S87" s="57" t="s">
        <v>1078</v>
      </c>
      <c r="T87" t="s">
        <v>945</v>
      </c>
      <c r="U87" s="57" t="s">
        <v>1079</v>
      </c>
      <c r="V87" s="57" t="s">
        <v>724</v>
      </c>
      <c r="W87" s="57" t="s">
        <v>704</v>
      </c>
      <c r="X87" s="57" t="s">
        <v>697</v>
      </c>
      <c r="Y87" s="57" t="s">
        <v>705</v>
      </c>
      <c r="Z87" s="57" t="s">
        <v>706</v>
      </c>
      <c r="AA87" s="178">
        <v>76650</v>
      </c>
      <c r="AB87" s="178">
        <v>200000</v>
      </c>
      <c r="AC87" s="57" t="s">
        <v>716</v>
      </c>
      <c r="AD87" s="57" t="s">
        <v>716</v>
      </c>
      <c r="AE87" s="57" t="s">
        <v>716</v>
      </c>
      <c r="AF87" s="57" t="s">
        <v>716</v>
      </c>
      <c r="AG87" s="57" t="s">
        <v>716</v>
      </c>
      <c r="AH87" s="57" t="s">
        <v>716</v>
      </c>
      <c r="AI87" s="57" t="s">
        <v>716</v>
      </c>
      <c r="AJ87" s="57" t="s">
        <v>716</v>
      </c>
      <c r="AK87" s="57" t="s">
        <v>716</v>
      </c>
      <c r="AL87" s="57" t="s">
        <v>716</v>
      </c>
    </row>
    <row r="88" spans="1:38" x14ac:dyDescent="0.35">
      <c r="A88" s="175">
        <v>86</v>
      </c>
      <c r="B88" s="57" t="s">
        <v>931</v>
      </c>
      <c r="C88" s="57" t="s">
        <v>1080</v>
      </c>
      <c r="D88" s="57" t="s">
        <v>1081</v>
      </c>
      <c r="E88" s="57" t="s">
        <v>697</v>
      </c>
      <c r="F88" s="57" t="s">
        <v>697</v>
      </c>
      <c r="G88" s="57" t="s">
        <v>697</v>
      </c>
      <c r="H88" s="57" t="s">
        <v>1082</v>
      </c>
      <c r="I88" s="57" t="s">
        <v>1081</v>
      </c>
      <c r="J88" s="57" t="s">
        <v>697</v>
      </c>
      <c r="K88" s="57" t="s">
        <v>697</v>
      </c>
      <c r="L88" s="57" t="s">
        <v>1083</v>
      </c>
      <c r="M88" s="57" t="s">
        <v>1084</v>
      </c>
      <c r="N88" s="58">
        <v>2</v>
      </c>
      <c r="O88" s="56">
        <v>42238</v>
      </c>
      <c r="P88" s="56">
        <v>41540</v>
      </c>
      <c r="Q88" s="57" t="s">
        <v>700</v>
      </c>
      <c r="R88" s="177">
        <v>90</v>
      </c>
      <c r="S88" s="57" t="s">
        <v>1085</v>
      </c>
      <c r="T88" s="57" t="s">
        <v>1086</v>
      </c>
      <c r="U88" s="57" t="s">
        <v>826</v>
      </c>
      <c r="V88" s="57" t="s">
        <v>724</v>
      </c>
      <c r="W88" s="57" t="s">
        <v>704</v>
      </c>
      <c r="X88" s="57" t="s">
        <v>697</v>
      </c>
      <c r="Y88" s="57" t="s">
        <v>705</v>
      </c>
      <c r="Z88" s="57" t="s">
        <v>706</v>
      </c>
      <c r="AA88" s="187">
        <v>107310</v>
      </c>
      <c r="AB88" s="187">
        <v>200000</v>
      </c>
      <c r="AC88" s="57"/>
      <c r="AD88" s="57"/>
      <c r="AE88" s="57"/>
      <c r="AF88" s="57"/>
      <c r="AG88" s="57"/>
      <c r="AH88" s="57"/>
      <c r="AI88" s="57"/>
      <c r="AJ88" s="57"/>
      <c r="AK88" s="57"/>
      <c r="AL88" s="57"/>
    </row>
    <row r="89" spans="1:38" x14ac:dyDescent="0.35">
      <c r="A89" s="175">
        <v>87</v>
      </c>
      <c r="B89" s="54" t="s">
        <v>1087</v>
      </c>
      <c r="C89" s="57" t="s">
        <v>1088</v>
      </c>
      <c r="D89" s="57" t="s">
        <v>1088</v>
      </c>
      <c r="E89" s="57" t="s">
        <v>697</v>
      </c>
      <c r="F89" s="57" t="s">
        <v>697</v>
      </c>
      <c r="G89" s="57" t="s">
        <v>697</v>
      </c>
      <c r="H89" s="57" t="s">
        <v>1089</v>
      </c>
      <c r="I89" s="57" t="s">
        <v>1088</v>
      </c>
      <c r="J89" s="57" t="s">
        <v>697</v>
      </c>
      <c r="K89" s="57" t="s">
        <v>697</v>
      </c>
      <c r="L89" s="57" t="s">
        <v>28</v>
      </c>
      <c r="M89" s="57" t="s">
        <v>1090</v>
      </c>
      <c r="N89" s="58">
        <v>2</v>
      </c>
      <c r="O89" s="56" t="s">
        <v>1091</v>
      </c>
      <c r="P89" s="56" t="s">
        <v>1092</v>
      </c>
      <c r="Q89" s="57" t="s">
        <v>700</v>
      </c>
      <c r="R89" s="177">
        <v>840</v>
      </c>
      <c r="S89" s="57" t="s">
        <v>663</v>
      </c>
      <c r="T89" s="57" t="s">
        <v>945</v>
      </c>
      <c r="U89" s="57" t="s">
        <v>1093</v>
      </c>
      <c r="V89" s="57" t="s">
        <v>697</v>
      </c>
      <c r="W89" s="57" t="s">
        <v>704</v>
      </c>
      <c r="X89" s="57" t="s">
        <v>697</v>
      </c>
      <c r="Y89" s="57" t="s">
        <v>705</v>
      </c>
      <c r="Z89" s="57" t="s">
        <v>706</v>
      </c>
      <c r="AA89" s="187">
        <v>505890</v>
      </c>
      <c r="AB89" s="187">
        <v>200000</v>
      </c>
      <c r="AC89" s="57" t="s">
        <v>716</v>
      </c>
      <c r="AD89" s="57" t="s">
        <v>716</v>
      </c>
      <c r="AE89" s="57" t="s">
        <v>716</v>
      </c>
      <c r="AF89" s="57" t="s">
        <v>716</v>
      </c>
      <c r="AG89" s="57" t="s">
        <v>716</v>
      </c>
      <c r="AH89" s="57" t="s">
        <v>716</v>
      </c>
      <c r="AI89" s="57" t="s">
        <v>716</v>
      </c>
      <c r="AJ89" s="57" t="s">
        <v>716</v>
      </c>
      <c r="AK89" s="57" t="s">
        <v>716</v>
      </c>
      <c r="AL89" s="57" t="s">
        <v>716</v>
      </c>
    </row>
    <row r="90" spans="1:38" x14ac:dyDescent="0.35">
      <c r="A90" s="175">
        <v>88</v>
      </c>
      <c r="B90" s="54" t="s">
        <v>1087</v>
      </c>
      <c r="C90" s="57" t="s">
        <v>1094</v>
      </c>
      <c r="D90" s="57" t="s">
        <v>1095</v>
      </c>
      <c r="E90" s="57" t="s">
        <v>697</v>
      </c>
      <c r="F90" s="57" t="s">
        <v>697</v>
      </c>
      <c r="G90" s="57" t="s">
        <v>697</v>
      </c>
      <c r="H90" s="57" t="s">
        <v>1089</v>
      </c>
      <c r="I90" s="57" t="s">
        <v>1096</v>
      </c>
      <c r="J90" s="57" t="s">
        <v>697</v>
      </c>
      <c r="K90" s="57" t="s">
        <v>697</v>
      </c>
      <c r="L90" s="57" t="s">
        <v>308</v>
      </c>
      <c r="M90" s="57" t="s">
        <v>1097</v>
      </c>
      <c r="N90" s="58">
        <v>2</v>
      </c>
      <c r="O90" s="56">
        <v>30626</v>
      </c>
      <c r="P90" s="56">
        <v>29926</v>
      </c>
      <c r="Q90" s="57" t="s">
        <v>700</v>
      </c>
      <c r="R90" s="177">
        <v>48</v>
      </c>
      <c r="S90" s="57" t="s">
        <v>1098</v>
      </c>
      <c r="T90" s="57" t="s">
        <v>945</v>
      </c>
      <c r="U90" s="57" t="s">
        <v>826</v>
      </c>
      <c r="V90" s="57" t="s">
        <v>697</v>
      </c>
      <c r="W90" s="57" t="s">
        <v>704</v>
      </c>
      <c r="X90" s="57" t="s">
        <v>697</v>
      </c>
      <c r="Y90" s="57" t="s">
        <v>705</v>
      </c>
      <c r="Z90" s="57" t="s">
        <v>706</v>
      </c>
      <c r="AA90" s="187">
        <v>76650</v>
      </c>
      <c r="AB90" s="187">
        <v>200000</v>
      </c>
      <c r="AC90" s="57" t="s">
        <v>716</v>
      </c>
      <c r="AD90" s="57" t="s">
        <v>716</v>
      </c>
      <c r="AE90" s="57" t="s">
        <v>716</v>
      </c>
      <c r="AF90" s="57" t="s">
        <v>716</v>
      </c>
      <c r="AG90" s="57" t="s">
        <v>716</v>
      </c>
      <c r="AH90" s="57" t="s">
        <v>716</v>
      </c>
      <c r="AI90" s="57" t="s">
        <v>716</v>
      </c>
      <c r="AJ90" s="57" t="s">
        <v>716</v>
      </c>
      <c r="AK90" s="57" t="s">
        <v>716</v>
      </c>
      <c r="AL90" s="57" t="s">
        <v>716</v>
      </c>
    </row>
    <row r="91" spans="1:38" x14ac:dyDescent="0.35">
      <c r="A91" s="175">
        <v>89</v>
      </c>
      <c r="B91" s="54" t="s">
        <v>1087</v>
      </c>
      <c r="C91" s="57" t="s">
        <v>1099</v>
      </c>
      <c r="D91" s="57" t="s">
        <v>1100</v>
      </c>
      <c r="E91" s="57" t="s">
        <v>697</v>
      </c>
      <c r="F91" s="57" t="s">
        <v>697</v>
      </c>
      <c r="G91" s="57" t="s">
        <v>697</v>
      </c>
      <c r="H91" s="57" t="s">
        <v>1089</v>
      </c>
      <c r="I91" s="57" t="s">
        <v>1099</v>
      </c>
      <c r="J91" s="57" t="s">
        <v>697</v>
      </c>
      <c r="K91" s="57" t="s">
        <v>697</v>
      </c>
      <c r="L91" s="57" t="s">
        <v>272</v>
      </c>
      <c r="M91" s="57" t="s">
        <v>1101</v>
      </c>
      <c r="N91" s="58">
        <v>2</v>
      </c>
      <c r="O91" s="56">
        <v>30626</v>
      </c>
      <c r="P91" s="56">
        <v>29926</v>
      </c>
      <c r="Q91" s="57" t="s">
        <v>700</v>
      </c>
      <c r="R91" s="177" t="s">
        <v>697</v>
      </c>
      <c r="S91" s="57" t="s">
        <v>697</v>
      </c>
      <c r="T91" s="57" t="s">
        <v>816</v>
      </c>
      <c r="U91" s="57" t="s">
        <v>826</v>
      </c>
      <c r="V91" s="57" t="s">
        <v>697</v>
      </c>
      <c r="W91" s="57" t="s">
        <v>704</v>
      </c>
      <c r="X91" s="57" t="s">
        <v>697</v>
      </c>
      <c r="Y91" s="57" t="s">
        <v>705</v>
      </c>
      <c r="Z91" s="57" t="s">
        <v>706</v>
      </c>
      <c r="AA91" s="187">
        <v>76650</v>
      </c>
      <c r="AB91" s="187">
        <v>200000</v>
      </c>
      <c r="AC91" s="57" t="s">
        <v>716</v>
      </c>
      <c r="AD91" s="57" t="s">
        <v>716</v>
      </c>
      <c r="AE91" s="57" t="s">
        <v>716</v>
      </c>
      <c r="AF91" s="57" t="s">
        <v>716</v>
      </c>
      <c r="AG91" s="57" t="s">
        <v>716</v>
      </c>
      <c r="AH91" s="57" t="s">
        <v>716</v>
      </c>
      <c r="AI91" s="57" t="s">
        <v>716</v>
      </c>
      <c r="AJ91" s="57" t="s">
        <v>716</v>
      </c>
      <c r="AK91" s="57" t="s">
        <v>716</v>
      </c>
      <c r="AL91" s="57" t="s">
        <v>716</v>
      </c>
    </row>
    <row r="92" spans="1:38" x14ac:dyDescent="0.35">
      <c r="A92" s="175">
        <v>90</v>
      </c>
      <c r="B92" s="57" t="s">
        <v>1102</v>
      </c>
      <c r="C92" s="57" t="s">
        <v>1103</v>
      </c>
      <c r="D92" s="57" t="s">
        <v>360</v>
      </c>
      <c r="E92" s="57" t="s">
        <v>697</v>
      </c>
      <c r="F92" s="57" t="s">
        <v>697</v>
      </c>
      <c r="G92" s="57" t="s">
        <v>697</v>
      </c>
      <c r="H92" s="57" t="s">
        <v>1104</v>
      </c>
      <c r="I92" s="57" t="s">
        <v>360</v>
      </c>
      <c r="J92" s="57" t="s">
        <v>697</v>
      </c>
      <c r="K92" s="57" t="s">
        <v>697</v>
      </c>
      <c r="L92" s="57" t="s">
        <v>148</v>
      </c>
      <c r="M92" s="57" t="s">
        <v>1105</v>
      </c>
      <c r="N92" s="58">
        <v>1</v>
      </c>
      <c r="O92" s="63">
        <v>29498</v>
      </c>
      <c r="P92" s="56">
        <v>29163</v>
      </c>
      <c r="Q92" s="57" t="s">
        <v>700</v>
      </c>
      <c r="R92" s="177" t="s">
        <v>697</v>
      </c>
      <c r="S92" s="57" t="s">
        <v>1106</v>
      </c>
      <c r="T92" s="57" t="s">
        <v>945</v>
      </c>
      <c r="U92" s="57" t="s">
        <v>1107</v>
      </c>
      <c r="V92" s="57" t="s">
        <v>697</v>
      </c>
      <c r="W92" s="57" t="s">
        <v>1108</v>
      </c>
      <c r="X92" s="57" t="s">
        <v>697</v>
      </c>
      <c r="Y92" s="57" t="s">
        <v>705</v>
      </c>
      <c r="Z92" s="57" t="s">
        <v>706</v>
      </c>
      <c r="AA92" s="187">
        <v>76650</v>
      </c>
      <c r="AB92" s="187">
        <v>200000</v>
      </c>
      <c r="AC92" s="57" t="s">
        <v>716</v>
      </c>
      <c r="AD92" s="57" t="s">
        <v>716</v>
      </c>
      <c r="AE92" s="57" t="s">
        <v>716</v>
      </c>
      <c r="AF92" s="57" t="s">
        <v>716</v>
      </c>
      <c r="AG92" s="57" t="s">
        <v>716</v>
      </c>
      <c r="AH92" s="57" t="s">
        <v>716</v>
      </c>
      <c r="AI92" s="57" t="s">
        <v>716</v>
      </c>
      <c r="AJ92" s="57" t="s">
        <v>716</v>
      </c>
      <c r="AK92" s="57" t="s">
        <v>716</v>
      </c>
      <c r="AL92" s="57" t="s">
        <v>716</v>
      </c>
    </row>
    <row r="93" spans="1:38" x14ac:dyDescent="0.35">
      <c r="A93" s="175">
        <v>91</v>
      </c>
      <c r="B93" s="57" t="s">
        <v>1102</v>
      </c>
      <c r="C93" s="57" t="s">
        <v>1103</v>
      </c>
      <c r="D93" s="57" t="s">
        <v>272</v>
      </c>
      <c r="E93" s="57" t="s">
        <v>697</v>
      </c>
      <c r="F93" s="57" t="s">
        <v>697</v>
      </c>
      <c r="G93" s="57" t="s">
        <v>697</v>
      </c>
      <c r="H93" s="57" t="s">
        <v>269</v>
      </c>
      <c r="I93" s="57" t="s">
        <v>272</v>
      </c>
      <c r="J93" s="57" t="s">
        <v>697</v>
      </c>
      <c r="K93" s="57" t="s">
        <v>697</v>
      </c>
      <c r="L93" s="57" t="s">
        <v>272</v>
      </c>
      <c r="M93" s="57" t="s">
        <v>1109</v>
      </c>
      <c r="N93" s="58">
        <v>1</v>
      </c>
      <c r="O93" s="63">
        <v>29498</v>
      </c>
      <c r="P93" s="56">
        <v>29163</v>
      </c>
      <c r="Q93" s="57" t="s">
        <v>700</v>
      </c>
      <c r="R93" s="177" t="s">
        <v>697</v>
      </c>
      <c r="S93" s="57" t="s">
        <v>657</v>
      </c>
      <c r="T93" s="57" t="s">
        <v>945</v>
      </c>
      <c r="U93" s="57" t="s">
        <v>1107</v>
      </c>
      <c r="V93" s="57" t="s">
        <v>697</v>
      </c>
      <c r="W93" s="57" t="s">
        <v>1108</v>
      </c>
      <c r="X93" s="57" t="s">
        <v>697</v>
      </c>
      <c r="Y93" s="57" t="s">
        <v>725</v>
      </c>
      <c r="Z93" s="57" t="s">
        <v>706</v>
      </c>
      <c r="AA93" s="187">
        <v>76650</v>
      </c>
      <c r="AB93" s="187">
        <v>200000</v>
      </c>
      <c r="AC93" s="57" t="s">
        <v>716</v>
      </c>
      <c r="AD93" s="57" t="s">
        <v>716</v>
      </c>
      <c r="AE93" s="57" t="s">
        <v>716</v>
      </c>
      <c r="AF93" s="57" t="s">
        <v>716</v>
      </c>
      <c r="AG93" s="57" t="s">
        <v>716</v>
      </c>
      <c r="AH93" s="57" t="s">
        <v>716</v>
      </c>
      <c r="AI93" s="57" t="s">
        <v>716</v>
      </c>
      <c r="AJ93" s="57" t="s">
        <v>716</v>
      </c>
      <c r="AK93" s="57" t="s">
        <v>716</v>
      </c>
      <c r="AL93" s="57" t="s">
        <v>716</v>
      </c>
    </row>
    <row r="94" spans="1:38" x14ac:dyDescent="0.35">
      <c r="A94" s="175">
        <v>92</v>
      </c>
      <c r="B94" s="57" t="s">
        <v>1102</v>
      </c>
      <c r="C94" s="57" t="s">
        <v>1103</v>
      </c>
      <c r="D94" s="57" t="s">
        <v>28</v>
      </c>
      <c r="E94" s="57" t="s">
        <v>697</v>
      </c>
      <c r="F94" s="57" t="s">
        <v>697</v>
      </c>
      <c r="G94" s="57" t="s">
        <v>697</v>
      </c>
      <c r="H94" s="57" t="s">
        <v>1110</v>
      </c>
      <c r="I94" s="57" t="s">
        <v>28</v>
      </c>
      <c r="J94" s="57" t="s">
        <v>697</v>
      </c>
      <c r="K94" s="57" t="s">
        <v>697</v>
      </c>
      <c r="L94" s="57" t="s">
        <v>28</v>
      </c>
      <c r="M94" s="57" t="s">
        <v>1111</v>
      </c>
      <c r="N94" s="58">
        <v>1</v>
      </c>
      <c r="O94" s="63" t="s">
        <v>1112</v>
      </c>
      <c r="P94" s="56">
        <v>32510</v>
      </c>
      <c r="Q94" s="57" t="s">
        <v>700</v>
      </c>
      <c r="R94" s="177" t="s">
        <v>697</v>
      </c>
      <c r="S94" s="57" t="s">
        <v>697</v>
      </c>
      <c r="T94" s="57" t="s">
        <v>945</v>
      </c>
      <c r="U94" s="57" t="s">
        <v>1107</v>
      </c>
      <c r="V94" s="57" t="s">
        <v>697</v>
      </c>
      <c r="W94" s="57" t="s">
        <v>1108</v>
      </c>
      <c r="X94" s="57" t="s">
        <v>697</v>
      </c>
      <c r="Y94" s="57" t="s">
        <v>725</v>
      </c>
      <c r="Z94" s="57" t="s">
        <v>706</v>
      </c>
      <c r="AA94" s="187">
        <v>76650</v>
      </c>
      <c r="AB94" s="187">
        <v>200000</v>
      </c>
      <c r="AC94" s="57" t="s">
        <v>716</v>
      </c>
      <c r="AD94" s="57" t="s">
        <v>716</v>
      </c>
      <c r="AE94" s="57" t="s">
        <v>716</v>
      </c>
      <c r="AF94" s="57" t="s">
        <v>716</v>
      </c>
      <c r="AG94" s="57" t="s">
        <v>716</v>
      </c>
      <c r="AH94" s="57" t="s">
        <v>716</v>
      </c>
      <c r="AI94" s="57" t="s">
        <v>716</v>
      </c>
      <c r="AJ94" s="57" t="s">
        <v>716</v>
      </c>
      <c r="AK94" s="57" t="s">
        <v>716</v>
      </c>
      <c r="AL94" s="57" t="s">
        <v>716</v>
      </c>
    </row>
    <row r="95" spans="1:38" x14ac:dyDescent="0.35">
      <c r="A95" s="175">
        <v>93</v>
      </c>
      <c r="B95" s="57" t="s">
        <v>1113</v>
      </c>
      <c r="C95" s="57" t="s">
        <v>1114</v>
      </c>
      <c r="D95" s="57" t="s">
        <v>1115</v>
      </c>
      <c r="E95" s="57" t="s">
        <v>697</v>
      </c>
      <c r="F95" s="57" t="s">
        <v>697</v>
      </c>
      <c r="G95" s="57" t="s">
        <v>697</v>
      </c>
      <c r="H95" s="57" t="s">
        <v>1116</v>
      </c>
      <c r="I95" s="57" t="s">
        <v>967</v>
      </c>
      <c r="J95" s="57" t="s">
        <v>697</v>
      </c>
      <c r="K95" s="57" t="s">
        <v>697</v>
      </c>
      <c r="L95" s="57" t="s">
        <v>967</v>
      </c>
      <c r="M95" s="57" t="s">
        <v>1117</v>
      </c>
      <c r="N95" s="58">
        <v>2</v>
      </c>
      <c r="O95" s="56">
        <v>33458</v>
      </c>
      <c r="P95" s="56">
        <v>32759</v>
      </c>
      <c r="Q95" s="57" t="s">
        <v>700</v>
      </c>
      <c r="R95" s="177">
        <v>77.2</v>
      </c>
      <c r="S95" s="57" t="s">
        <v>697</v>
      </c>
      <c r="T95" s="57" t="s">
        <v>1118</v>
      </c>
      <c r="U95" s="57" t="s">
        <v>1119</v>
      </c>
      <c r="V95" s="57" t="s">
        <v>697</v>
      </c>
      <c r="W95" s="57" t="s">
        <v>704</v>
      </c>
      <c r="X95" s="57" t="s">
        <v>697</v>
      </c>
      <c r="Y95" s="57" t="s">
        <v>705</v>
      </c>
      <c r="Z95" s="57" t="s">
        <v>706</v>
      </c>
      <c r="AA95" s="187">
        <v>0</v>
      </c>
      <c r="AB95" s="187">
        <v>200000</v>
      </c>
      <c r="AC95" s="57" t="s">
        <v>716</v>
      </c>
      <c r="AD95" s="57" t="s">
        <v>716</v>
      </c>
      <c r="AE95" s="57" t="s">
        <v>716</v>
      </c>
      <c r="AF95" s="57" t="s">
        <v>716</v>
      </c>
      <c r="AG95" s="57" t="s">
        <v>716</v>
      </c>
      <c r="AH95" s="57" t="s">
        <v>716</v>
      </c>
      <c r="AI95" s="57" t="s">
        <v>716</v>
      </c>
      <c r="AJ95" s="57" t="s">
        <v>716</v>
      </c>
      <c r="AK95" s="57" t="s">
        <v>716</v>
      </c>
      <c r="AL95" s="57" t="s">
        <v>716</v>
      </c>
    </row>
    <row r="96" spans="1:38" x14ac:dyDescent="0.35">
      <c r="A96" s="175">
        <v>94</v>
      </c>
      <c r="B96" s="57" t="s">
        <v>1120</v>
      </c>
      <c r="C96" s="57" t="s">
        <v>1121</v>
      </c>
      <c r="D96" s="57" t="s">
        <v>1122</v>
      </c>
      <c r="E96" s="57" t="s">
        <v>1123</v>
      </c>
      <c r="F96" s="57"/>
      <c r="G96" s="57"/>
      <c r="H96" s="57"/>
      <c r="I96" s="57"/>
      <c r="J96" s="57"/>
      <c r="K96" s="57"/>
      <c r="L96" s="57"/>
      <c r="M96" s="57"/>
      <c r="N96" s="58"/>
      <c r="O96" s="56"/>
      <c r="P96" s="56"/>
      <c r="Q96" s="57"/>
      <c r="R96" s="177"/>
      <c r="S96" s="57"/>
      <c r="T96" s="57"/>
      <c r="U96" s="57"/>
      <c r="V96" s="57"/>
      <c r="W96" s="57"/>
      <c r="X96" s="57"/>
      <c r="Y96" s="57" t="s">
        <v>61</v>
      </c>
      <c r="Z96" s="57" t="s">
        <v>61</v>
      </c>
      <c r="AA96" s="190">
        <v>0</v>
      </c>
      <c r="AB96" s="190">
        <v>0</v>
      </c>
      <c r="AC96" s="57" t="s">
        <v>61</v>
      </c>
      <c r="AD96" s="57" t="s">
        <v>61</v>
      </c>
      <c r="AE96" s="57" t="s">
        <v>61</v>
      </c>
      <c r="AF96" s="57" t="s">
        <v>61</v>
      </c>
      <c r="AG96" s="57" t="s">
        <v>61</v>
      </c>
      <c r="AH96" s="57" t="s">
        <v>61</v>
      </c>
      <c r="AI96" s="57" t="s">
        <v>61</v>
      </c>
      <c r="AJ96" s="57" t="s">
        <v>61</v>
      </c>
      <c r="AK96" s="57" t="s">
        <v>61</v>
      </c>
      <c r="AL96" s="57" t="s">
        <v>61</v>
      </c>
    </row>
    <row r="97" spans="1:38" x14ac:dyDescent="0.35">
      <c r="A97" s="175">
        <v>95</v>
      </c>
      <c r="B97" s="57" t="s">
        <v>1124</v>
      </c>
      <c r="C97" s="57" t="s">
        <v>1125</v>
      </c>
      <c r="D97" s="57" t="s">
        <v>1126</v>
      </c>
      <c r="E97" s="57" t="s">
        <v>697</v>
      </c>
      <c r="F97" s="57" t="s">
        <v>697</v>
      </c>
      <c r="G97" s="57" t="s">
        <v>697</v>
      </c>
      <c r="H97" s="57" t="s">
        <v>1127</v>
      </c>
      <c r="I97" s="57" t="s">
        <v>1126</v>
      </c>
      <c r="J97" s="57" t="s">
        <v>697</v>
      </c>
      <c r="K97" s="57" t="s">
        <v>697</v>
      </c>
      <c r="L97" s="57" t="s">
        <v>747</v>
      </c>
      <c r="M97" s="57" t="s">
        <v>1128</v>
      </c>
      <c r="N97" s="64">
        <v>2</v>
      </c>
      <c r="O97" s="56">
        <v>31964</v>
      </c>
      <c r="P97" s="56">
        <v>31234</v>
      </c>
      <c r="Q97" s="57" t="s">
        <v>700</v>
      </c>
      <c r="R97" s="177">
        <v>181.6</v>
      </c>
      <c r="S97" s="57" t="s">
        <v>697</v>
      </c>
      <c r="T97" s="57" t="s">
        <v>1129</v>
      </c>
      <c r="U97" s="57" t="s">
        <v>1130</v>
      </c>
      <c r="V97" s="57" t="s">
        <v>697</v>
      </c>
      <c r="W97" s="57" t="s">
        <v>704</v>
      </c>
      <c r="X97" s="57" t="s">
        <v>697</v>
      </c>
      <c r="Y97" s="57" t="s">
        <v>725</v>
      </c>
      <c r="Z97" s="57" t="s">
        <v>706</v>
      </c>
      <c r="AA97" s="178">
        <v>169447.6</v>
      </c>
      <c r="AB97" s="178">
        <v>200000</v>
      </c>
      <c r="AC97" s="57" t="s">
        <v>716</v>
      </c>
      <c r="AD97" s="57" t="s">
        <v>716</v>
      </c>
      <c r="AE97" s="57" t="s">
        <v>716</v>
      </c>
      <c r="AF97" s="57" t="s">
        <v>716</v>
      </c>
      <c r="AG97" s="57" t="s">
        <v>716</v>
      </c>
      <c r="AH97" s="57" t="s">
        <v>716</v>
      </c>
      <c r="AI97" s="57" t="s">
        <v>716</v>
      </c>
      <c r="AJ97" s="57" t="s">
        <v>716</v>
      </c>
      <c r="AK97" s="57" t="s">
        <v>716</v>
      </c>
      <c r="AL97" s="57" t="s">
        <v>716</v>
      </c>
    </row>
    <row r="98" spans="1:38" x14ac:dyDescent="0.35">
      <c r="A98" s="175">
        <v>96</v>
      </c>
      <c r="B98" s="57" t="s">
        <v>1131</v>
      </c>
      <c r="C98" s="57" t="s">
        <v>1132</v>
      </c>
      <c r="D98" s="57" t="s">
        <v>328</v>
      </c>
      <c r="E98" s="57" t="s">
        <v>697</v>
      </c>
      <c r="F98" s="57" t="s">
        <v>697</v>
      </c>
      <c r="G98" s="57" t="s">
        <v>697</v>
      </c>
      <c r="H98" s="57" t="s">
        <v>1133</v>
      </c>
      <c r="I98" s="57" t="s">
        <v>328</v>
      </c>
      <c r="J98" s="57" t="s">
        <v>697</v>
      </c>
      <c r="K98" s="57" t="s">
        <v>697</v>
      </c>
      <c r="L98" s="57" t="s">
        <v>18</v>
      </c>
      <c r="M98" s="57" t="s">
        <v>1134</v>
      </c>
      <c r="N98" s="58">
        <v>2</v>
      </c>
      <c r="O98" s="56" t="s">
        <v>1135</v>
      </c>
      <c r="P98" s="56" t="s">
        <v>1136</v>
      </c>
      <c r="Q98" s="57" t="s">
        <v>700</v>
      </c>
      <c r="R98" s="177" t="s">
        <v>697</v>
      </c>
      <c r="S98" s="57" t="s">
        <v>1137</v>
      </c>
      <c r="T98" s="57" t="s">
        <v>936</v>
      </c>
      <c r="U98" s="57" t="s">
        <v>1138</v>
      </c>
      <c r="V98" s="57" t="s">
        <v>697</v>
      </c>
      <c r="W98" s="57" t="s">
        <v>704</v>
      </c>
      <c r="X98" s="57" t="s">
        <v>697</v>
      </c>
      <c r="Y98" s="57" t="s">
        <v>705</v>
      </c>
      <c r="Z98" s="57" t="s">
        <v>706</v>
      </c>
      <c r="AA98" s="164">
        <v>0</v>
      </c>
      <c r="AB98" s="178">
        <v>0</v>
      </c>
      <c r="AC98" s="178" t="s">
        <v>61</v>
      </c>
      <c r="AD98" s="178" t="s">
        <v>61</v>
      </c>
      <c r="AE98" s="178" t="s">
        <v>61</v>
      </c>
      <c r="AF98" s="178" t="s">
        <v>61</v>
      </c>
      <c r="AG98" s="178" t="s">
        <v>61</v>
      </c>
      <c r="AH98" s="178" t="s">
        <v>61</v>
      </c>
      <c r="AI98" s="178" t="s">
        <v>61</v>
      </c>
      <c r="AJ98" s="178" t="s">
        <v>61</v>
      </c>
      <c r="AK98" s="178" t="s">
        <v>61</v>
      </c>
      <c r="AL98" s="178" t="s">
        <v>61</v>
      </c>
    </row>
    <row r="99" spans="1:38" x14ac:dyDescent="0.35">
      <c r="A99" s="175">
        <v>97</v>
      </c>
      <c r="B99" s="57" t="s">
        <v>1139</v>
      </c>
      <c r="C99" s="57" t="s">
        <v>1140</v>
      </c>
      <c r="D99" s="57" t="s">
        <v>328</v>
      </c>
      <c r="E99" s="57" t="s">
        <v>1140</v>
      </c>
      <c r="F99" s="57" t="s">
        <v>697</v>
      </c>
      <c r="G99" s="57" t="s">
        <v>697</v>
      </c>
      <c r="H99" s="57" t="s">
        <v>1141</v>
      </c>
      <c r="I99" s="57" t="s">
        <v>328</v>
      </c>
      <c r="J99" s="57" t="s">
        <v>697</v>
      </c>
      <c r="K99" s="57" t="s">
        <v>697</v>
      </c>
      <c r="L99" s="57" t="s">
        <v>18</v>
      </c>
      <c r="M99" s="57" t="s">
        <v>1142</v>
      </c>
      <c r="N99" s="58">
        <v>1</v>
      </c>
      <c r="O99" s="56">
        <v>30234</v>
      </c>
      <c r="P99" s="56">
        <v>29869</v>
      </c>
      <c r="Q99" s="57" t="s">
        <v>700</v>
      </c>
      <c r="R99" s="177" t="s">
        <v>697</v>
      </c>
      <c r="S99" s="57" t="s">
        <v>697</v>
      </c>
      <c r="T99" s="57" t="s">
        <v>1143</v>
      </c>
      <c r="U99" s="57" t="s">
        <v>1144</v>
      </c>
      <c r="V99" s="57" t="s">
        <v>697</v>
      </c>
      <c r="W99" s="57" t="s">
        <v>704</v>
      </c>
      <c r="X99" s="57" t="s">
        <v>697</v>
      </c>
      <c r="Y99" s="57" t="s">
        <v>725</v>
      </c>
      <c r="Z99" s="57" t="s">
        <v>706</v>
      </c>
      <c r="AA99" s="164">
        <v>0</v>
      </c>
      <c r="AB99" s="178">
        <v>0</v>
      </c>
      <c r="AC99" s="178" t="s">
        <v>61</v>
      </c>
      <c r="AD99" s="178" t="s">
        <v>61</v>
      </c>
      <c r="AE99" s="178" t="s">
        <v>61</v>
      </c>
      <c r="AF99" s="178" t="s">
        <v>61</v>
      </c>
      <c r="AG99" s="178" t="s">
        <v>61</v>
      </c>
      <c r="AH99" s="178" t="s">
        <v>61</v>
      </c>
      <c r="AI99" s="178" t="s">
        <v>61</v>
      </c>
      <c r="AJ99" s="178" t="s">
        <v>61</v>
      </c>
      <c r="AK99" s="178" t="s">
        <v>61</v>
      </c>
      <c r="AL99" s="178" t="s">
        <v>61</v>
      </c>
    </row>
    <row r="100" spans="1:38" x14ac:dyDescent="0.35">
      <c r="A100" s="175">
        <v>98</v>
      </c>
      <c r="B100" s="57" t="s">
        <v>1145</v>
      </c>
      <c r="C100" s="57" t="s">
        <v>1146</v>
      </c>
      <c r="D100" s="57" t="s">
        <v>795</v>
      </c>
      <c r="E100" s="57" t="s">
        <v>697</v>
      </c>
      <c r="F100" s="57" t="s">
        <v>697</v>
      </c>
      <c r="G100" s="57" t="s">
        <v>697</v>
      </c>
      <c r="H100" s="57" t="s">
        <v>1147</v>
      </c>
      <c r="I100" s="57" t="s">
        <v>795</v>
      </c>
      <c r="J100" s="57" t="s">
        <v>697</v>
      </c>
      <c r="K100" s="57" t="s">
        <v>697</v>
      </c>
      <c r="L100" s="57" t="s">
        <v>28</v>
      </c>
      <c r="M100" s="57" t="s">
        <v>1148</v>
      </c>
      <c r="N100" s="58">
        <v>2</v>
      </c>
      <c r="O100" s="56" t="s">
        <v>1149</v>
      </c>
      <c r="P100" s="56" t="s">
        <v>1150</v>
      </c>
      <c r="Q100" s="57" t="s">
        <v>700</v>
      </c>
      <c r="R100" s="177">
        <v>0.65</v>
      </c>
      <c r="S100" s="57" t="s">
        <v>663</v>
      </c>
      <c r="T100" s="57" t="s">
        <v>945</v>
      </c>
      <c r="U100" s="57" t="s">
        <v>1151</v>
      </c>
      <c r="V100" s="57" t="s">
        <v>1152</v>
      </c>
      <c r="W100" s="57" t="s">
        <v>704</v>
      </c>
      <c r="X100" s="57" t="s">
        <v>697</v>
      </c>
      <c r="Y100" s="57" t="s">
        <v>705</v>
      </c>
      <c r="Z100" s="57" t="s">
        <v>706</v>
      </c>
      <c r="AA100" s="164">
        <v>76650</v>
      </c>
      <c r="AB100" s="178">
        <v>200000</v>
      </c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</row>
    <row r="101" spans="1:38" x14ac:dyDescent="0.35">
      <c r="A101" s="175">
        <v>99</v>
      </c>
      <c r="B101" s="57" t="s">
        <v>1153</v>
      </c>
      <c r="C101" s="57" t="s">
        <v>1154</v>
      </c>
      <c r="D101" s="57" t="s">
        <v>328</v>
      </c>
      <c r="E101" s="57" t="s">
        <v>697</v>
      </c>
      <c r="F101" s="57" t="s">
        <v>697</v>
      </c>
      <c r="G101" s="57" t="s">
        <v>697</v>
      </c>
      <c r="H101" s="57" t="s">
        <v>891</v>
      </c>
      <c r="I101" s="57" t="s">
        <v>328</v>
      </c>
      <c r="J101" s="57" t="s">
        <v>697</v>
      </c>
      <c r="K101" s="57" t="s">
        <v>697</v>
      </c>
      <c r="L101" s="57" t="s">
        <v>18</v>
      </c>
      <c r="M101" s="57" t="s">
        <v>1155</v>
      </c>
      <c r="N101" s="58">
        <v>2</v>
      </c>
      <c r="O101" s="56">
        <v>31964</v>
      </c>
      <c r="P101" s="56">
        <v>31234</v>
      </c>
      <c r="Q101" s="57" t="s">
        <v>700</v>
      </c>
      <c r="R101" s="177">
        <v>50</v>
      </c>
      <c r="S101" s="57" t="s">
        <v>697</v>
      </c>
      <c r="T101" s="57" t="s">
        <v>697</v>
      </c>
      <c r="U101" s="57" t="s">
        <v>1156</v>
      </c>
      <c r="V101" s="57" t="s">
        <v>1157</v>
      </c>
      <c r="W101" s="57" t="s">
        <v>704</v>
      </c>
      <c r="X101" s="57" t="s">
        <v>697</v>
      </c>
      <c r="Y101" s="57" t="s">
        <v>725</v>
      </c>
      <c r="Z101" s="57" t="s">
        <v>706</v>
      </c>
      <c r="AA101" s="164">
        <v>76650</v>
      </c>
      <c r="AB101" s="178">
        <v>200000</v>
      </c>
      <c r="AC101" s="57" t="s">
        <v>716</v>
      </c>
      <c r="AD101" s="57" t="s">
        <v>716</v>
      </c>
      <c r="AE101" s="57" t="s">
        <v>716</v>
      </c>
      <c r="AF101" s="57" t="s">
        <v>716</v>
      </c>
      <c r="AG101" s="57" t="s">
        <v>716</v>
      </c>
      <c r="AH101" s="57" t="s">
        <v>716</v>
      </c>
      <c r="AI101" s="57" t="s">
        <v>716</v>
      </c>
      <c r="AJ101" s="57" t="s">
        <v>716</v>
      </c>
      <c r="AK101" s="57" t="s">
        <v>716</v>
      </c>
      <c r="AL101" s="57" t="s">
        <v>716</v>
      </c>
    </row>
    <row r="102" spans="1:38" x14ac:dyDescent="0.35">
      <c r="A102" s="175">
        <v>100</v>
      </c>
      <c r="B102" s="57" t="s">
        <v>1158</v>
      </c>
      <c r="C102" s="57" t="s">
        <v>1159</v>
      </c>
      <c r="D102" s="57" t="s">
        <v>767</v>
      </c>
      <c r="E102" s="57" t="s">
        <v>697</v>
      </c>
      <c r="F102" s="57" t="s">
        <v>697</v>
      </c>
      <c r="G102" s="57" t="s">
        <v>697</v>
      </c>
      <c r="H102" s="57" t="s">
        <v>1160</v>
      </c>
      <c r="I102" s="57" t="s">
        <v>767</v>
      </c>
      <c r="J102" s="57" t="s">
        <v>697</v>
      </c>
      <c r="K102" s="57" t="s">
        <v>697</v>
      </c>
      <c r="L102" s="57" t="s">
        <v>767</v>
      </c>
      <c r="M102" s="57" t="s">
        <v>1161</v>
      </c>
      <c r="N102" s="58">
        <v>1</v>
      </c>
      <c r="O102" s="56">
        <v>30234</v>
      </c>
      <c r="P102" s="56">
        <v>29869</v>
      </c>
      <c r="Q102" s="57" t="s">
        <v>700</v>
      </c>
      <c r="R102" s="177">
        <v>5.6779999999999999</v>
      </c>
      <c r="S102" s="57" t="s">
        <v>697</v>
      </c>
      <c r="T102" s="57" t="s">
        <v>697</v>
      </c>
      <c r="U102" s="57" t="s">
        <v>1162</v>
      </c>
      <c r="V102" s="57" t="s">
        <v>1157</v>
      </c>
      <c r="W102" s="57" t="s">
        <v>704</v>
      </c>
      <c r="X102" s="57" t="s">
        <v>697</v>
      </c>
      <c r="Y102" s="57" t="s">
        <v>705</v>
      </c>
      <c r="Z102" s="57" t="s">
        <v>706</v>
      </c>
      <c r="AA102" s="164">
        <v>76650</v>
      </c>
      <c r="AB102" s="178">
        <v>200000</v>
      </c>
      <c r="AC102" s="57" t="s">
        <v>716</v>
      </c>
      <c r="AD102" s="57" t="s">
        <v>716</v>
      </c>
      <c r="AE102" s="57" t="s">
        <v>716</v>
      </c>
      <c r="AF102" s="57" t="s">
        <v>716</v>
      </c>
      <c r="AG102" s="57" t="s">
        <v>716</v>
      </c>
      <c r="AH102" s="57" t="s">
        <v>716</v>
      </c>
      <c r="AI102" s="57" t="s">
        <v>716</v>
      </c>
      <c r="AJ102" s="57" t="s">
        <v>716</v>
      </c>
      <c r="AK102" s="57" t="s">
        <v>716</v>
      </c>
      <c r="AL102" s="57" t="s">
        <v>716</v>
      </c>
    </row>
    <row r="103" spans="1:38" x14ac:dyDescent="0.35">
      <c r="A103" s="175">
        <v>101</v>
      </c>
      <c r="B103" s="57" t="s">
        <v>1163</v>
      </c>
      <c r="C103" s="57" t="s">
        <v>1164</v>
      </c>
      <c r="D103" s="57" t="s">
        <v>1165</v>
      </c>
      <c r="E103" s="57"/>
      <c r="F103" s="57"/>
      <c r="G103" s="57"/>
      <c r="H103" s="57"/>
      <c r="I103" s="57"/>
      <c r="J103" s="57"/>
      <c r="K103" s="57"/>
      <c r="L103" s="57"/>
      <c r="M103" s="57"/>
      <c r="N103" s="58"/>
      <c r="O103" s="56"/>
      <c r="P103" s="56"/>
      <c r="Q103" s="57"/>
      <c r="R103" s="177"/>
      <c r="S103" s="57"/>
      <c r="T103" s="57"/>
      <c r="U103" s="57"/>
      <c r="V103" s="57"/>
      <c r="W103" s="57"/>
      <c r="X103" s="57"/>
      <c r="Y103" s="57"/>
      <c r="Z103" s="57"/>
      <c r="AA103" s="178">
        <v>0</v>
      </c>
      <c r="AB103" s="178">
        <v>0</v>
      </c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</row>
    <row r="104" spans="1:38" x14ac:dyDescent="0.35">
      <c r="A104" s="175">
        <v>102</v>
      </c>
      <c r="B104" s="57" t="s">
        <v>1166</v>
      </c>
      <c r="C104" s="57" t="s">
        <v>1167</v>
      </c>
      <c r="D104" s="57" t="s">
        <v>697</v>
      </c>
      <c r="E104" s="57" t="s">
        <v>697</v>
      </c>
      <c r="F104" s="57" t="s">
        <v>697</v>
      </c>
      <c r="G104" s="57" t="s">
        <v>697</v>
      </c>
      <c r="H104" s="57" t="s">
        <v>1168</v>
      </c>
      <c r="I104" s="57" t="s">
        <v>321</v>
      </c>
      <c r="J104" s="57" t="s">
        <v>697</v>
      </c>
      <c r="K104" s="57" t="s">
        <v>697</v>
      </c>
      <c r="L104" s="57" t="s">
        <v>321</v>
      </c>
      <c r="M104" s="57" t="s">
        <v>1169</v>
      </c>
      <c r="N104" s="58">
        <v>2</v>
      </c>
      <c r="O104" s="56" t="s">
        <v>1170</v>
      </c>
      <c r="P104" s="56" t="s">
        <v>1171</v>
      </c>
      <c r="Q104" s="57" t="s">
        <v>700</v>
      </c>
      <c r="R104" s="177">
        <v>9.1</v>
      </c>
      <c r="S104" s="57" t="s">
        <v>61</v>
      </c>
      <c r="T104" s="57" t="s">
        <v>1129</v>
      </c>
      <c r="U104" s="57" t="s">
        <v>1172</v>
      </c>
      <c r="V104" s="57" t="s">
        <v>1157</v>
      </c>
      <c r="W104" s="57" t="s">
        <v>704</v>
      </c>
      <c r="X104" s="57" t="s">
        <v>697</v>
      </c>
      <c r="Y104" s="57" t="s">
        <v>725</v>
      </c>
      <c r="Z104" s="57" t="s">
        <v>706</v>
      </c>
      <c r="AA104" s="164">
        <v>76650</v>
      </c>
      <c r="AB104" s="178">
        <v>200000</v>
      </c>
      <c r="AC104" s="57" t="s">
        <v>716</v>
      </c>
      <c r="AD104" s="57" t="s">
        <v>716</v>
      </c>
      <c r="AE104" s="57" t="s">
        <v>716</v>
      </c>
      <c r="AF104" s="57" t="s">
        <v>716</v>
      </c>
      <c r="AG104" s="57" t="s">
        <v>716</v>
      </c>
      <c r="AH104" s="57" t="s">
        <v>716</v>
      </c>
      <c r="AI104" s="57" t="s">
        <v>716</v>
      </c>
      <c r="AJ104" s="57" t="s">
        <v>716</v>
      </c>
      <c r="AK104" s="57" t="s">
        <v>716</v>
      </c>
      <c r="AL104" s="57" t="s">
        <v>716</v>
      </c>
    </row>
    <row r="105" spans="1:38" x14ac:dyDescent="0.35">
      <c r="A105" s="175">
        <v>103</v>
      </c>
      <c r="B105" s="57" t="s">
        <v>1173</v>
      </c>
      <c r="C105" s="57" t="s">
        <v>1174</v>
      </c>
      <c r="D105" s="57" t="s">
        <v>1175</v>
      </c>
      <c r="E105" s="57" t="s">
        <v>697</v>
      </c>
      <c r="F105" s="57" t="s">
        <v>697</v>
      </c>
      <c r="G105" s="57" t="s">
        <v>697</v>
      </c>
      <c r="H105" s="57" t="s">
        <v>1176</v>
      </c>
      <c r="I105" s="57" t="s">
        <v>1174</v>
      </c>
      <c r="J105" s="57" t="s">
        <v>697</v>
      </c>
      <c r="K105" s="57" t="s">
        <v>697</v>
      </c>
      <c r="L105" s="57" t="s">
        <v>28</v>
      </c>
      <c r="M105" s="57" t="s">
        <v>1177</v>
      </c>
      <c r="N105" s="58">
        <v>2</v>
      </c>
      <c r="O105" s="56" t="s">
        <v>1178</v>
      </c>
      <c r="P105" s="56" t="s">
        <v>1179</v>
      </c>
      <c r="Q105" s="57" t="s">
        <v>700</v>
      </c>
      <c r="R105" s="177">
        <v>640</v>
      </c>
      <c r="S105" s="57" t="s">
        <v>1180</v>
      </c>
      <c r="T105" s="57" t="s">
        <v>945</v>
      </c>
      <c r="U105" s="57" t="s">
        <v>1181</v>
      </c>
      <c r="V105" s="57" t="s">
        <v>1182</v>
      </c>
      <c r="W105" s="57" t="s">
        <v>704</v>
      </c>
      <c r="X105" s="57" t="s">
        <v>697</v>
      </c>
      <c r="Y105" s="57" t="s">
        <v>705</v>
      </c>
      <c r="Z105" s="57" t="s">
        <v>706</v>
      </c>
      <c r="AA105" s="178">
        <v>403690</v>
      </c>
      <c r="AB105" s="178">
        <v>200000</v>
      </c>
      <c r="AC105" s="57" t="s">
        <v>716</v>
      </c>
      <c r="AD105" s="57" t="s">
        <v>716</v>
      </c>
      <c r="AE105" s="57" t="s">
        <v>716</v>
      </c>
      <c r="AF105" s="57" t="s">
        <v>716</v>
      </c>
      <c r="AG105" s="57" t="s">
        <v>716</v>
      </c>
      <c r="AH105" s="57" t="s">
        <v>716</v>
      </c>
      <c r="AI105" s="57" t="s">
        <v>716</v>
      </c>
      <c r="AJ105" s="57" t="s">
        <v>716</v>
      </c>
      <c r="AK105" s="57" t="s">
        <v>716</v>
      </c>
      <c r="AL105" s="57" t="s">
        <v>716</v>
      </c>
    </row>
    <row r="106" spans="1:38" ht="145" x14ac:dyDescent="0.35">
      <c r="A106" s="175">
        <v>104</v>
      </c>
      <c r="B106" s="57" t="s">
        <v>1183</v>
      </c>
      <c r="C106" s="57" t="s">
        <v>1184</v>
      </c>
      <c r="D106" s="57" t="s">
        <v>697</v>
      </c>
      <c r="E106" s="57" t="s">
        <v>697</v>
      </c>
      <c r="F106" s="57" t="s">
        <v>697</v>
      </c>
      <c r="G106" s="57" t="s">
        <v>697</v>
      </c>
      <c r="H106" s="57" t="s">
        <v>1185</v>
      </c>
      <c r="I106" s="57" t="s">
        <v>321</v>
      </c>
      <c r="J106" s="57" t="s">
        <v>697</v>
      </c>
      <c r="K106" s="57" t="s">
        <v>697</v>
      </c>
      <c r="L106" s="57" t="s">
        <v>321</v>
      </c>
      <c r="M106" s="57" t="s">
        <v>1186</v>
      </c>
      <c r="N106" s="58">
        <v>2</v>
      </c>
      <c r="O106" s="56" t="s">
        <v>1187</v>
      </c>
      <c r="P106" s="56">
        <v>31420</v>
      </c>
      <c r="Q106" s="57" t="s">
        <v>700</v>
      </c>
      <c r="R106" s="177">
        <v>59.9</v>
      </c>
      <c r="S106" s="57" t="s">
        <v>1180</v>
      </c>
      <c r="T106" s="57" t="s">
        <v>945</v>
      </c>
      <c r="U106" s="176" t="s">
        <v>1188</v>
      </c>
      <c r="V106" s="57" t="s">
        <v>1189</v>
      </c>
      <c r="W106" s="57" t="s">
        <v>704</v>
      </c>
      <c r="X106" s="57" t="s">
        <v>697</v>
      </c>
      <c r="Y106" s="57" t="s">
        <v>705</v>
      </c>
      <c r="Z106" s="57" t="s">
        <v>706</v>
      </c>
      <c r="AA106" s="178">
        <v>112317.8</v>
      </c>
      <c r="AB106" s="178">
        <v>200000</v>
      </c>
      <c r="AC106" s="57" t="s">
        <v>716</v>
      </c>
      <c r="AD106" s="57" t="s">
        <v>716</v>
      </c>
      <c r="AE106" s="57" t="s">
        <v>716</v>
      </c>
      <c r="AF106" s="57" t="s">
        <v>716</v>
      </c>
      <c r="AG106" s="57" t="s">
        <v>716</v>
      </c>
      <c r="AH106" s="57" t="s">
        <v>716</v>
      </c>
      <c r="AI106" s="57" t="s">
        <v>716</v>
      </c>
      <c r="AJ106" s="57" t="s">
        <v>716</v>
      </c>
      <c r="AK106" s="57" t="s">
        <v>716</v>
      </c>
      <c r="AL106" s="57" t="s">
        <v>716</v>
      </c>
    </row>
    <row r="107" spans="1:38" x14ac:dyDescent="0.35">
      <c r="A107" s="175">
        <v>105</v>
      </c>
      <c r="B107" s="57" t="s">
        <v>1190</v>
      </c>
      <c r="C107" s="57" t="s">
        <v>1191</v>
      </c>
      <c r="D107" s="57" t="s">
        <v>697</v>
      </c>
      <c r="E107" s="57" t="s">
        <v>697</v>
      </c>
      <c r="F107" s="57" t="s">
        <v>697</v>
      </c>
      <c r="G107" s="57" t="s">
        <v>697</v>
      </c>
      <c r="H107" s="57" t="s">
        <v>1192</v>
      </c>
      <c r="I107" s="57" t="s">
        <v>51</v>
      </c>
      <c r="J107" s="57" t="s">
        <v>697</v>
      </c>
      <c r="K107" s="57" t="s">
        <v>697</v>
      </c>
      <c r="L107" s="57" t="s">
        <v>51</v>
      </c>
      <c r="M107" s="57" t="s">
        <v>1190</v>
      </c>
      <c r="N107" s="58">
        <v>2</v>
      </c>
      <c r="O107" s="56" t="s">
        <v>1193</v>
      </c>
      <c r="P107" s="56" t="s">
        <v>1194</v>
      </c>
      <c r="Q107" s="57" t="s">
        <v>700</v>
      </c>
      <c r="R107" s="177" t="s">
        <v>1195</v>
      </c>
      <c r="S107" s="57" t="s">
        <v>1180</v>
      </c>
      <c r="T107" s="57" t="s">
        <v>816</v>
      </c>
      <c r="U107" s="57" t="s">
        <v>1144</v>
      </c>
      <c r="V107" s="57" t="s">
        <v>1157</v>
      </c>
      <c r="W107" s="57" t="s">
        <v>704</v>
      </c>
      <c r="X107" s="57" t="s">
        <v>697</v>
      </c>
      <c r="Y107" s="57" t="s">
        <v>705</v>
      </c>
      <c r="Z107" s="57" t="s">
        <v>706</v>
      </c>
      <c r="AA107" s="164">
        <v>76650</v>
      </c>
      <c r="AB107" s="178">
        <v>200000</v>
      </c>
      <c r="AC107" s="57" t="s">
        <v>716</v>
      </c>
      <c r="AD107" s="57" t="s">
        <v>716</v>
      </c>
      <c r="AE107" s="57" t="s">
        <v>716</v>
      </c>
      <c r="AF107" s="57" t="s">
        <v>716</v>
      </c>
      <c r="AG107" s="57" t="s">
        <v>716</v>
      </c>
      <c r="AH107" s="57" t="s">
        <v>716</v>
      </c>
      <c r="AI107" s="57" t="s">
        <v>716</v>
      </c>
      <c r="AJ107" s="57" t="s">
        <v>716</v>
      </c>
      <c r="AK107" s="57" t="s">
        <v>716</v>
      </c>
      <c r="AL107" s="57" t="s">
        <v>716</v>
      </c>
    </row>
    <row r="108" spans="1:38" x14ac:dyDescent="0.35">
      <c r="A108" s="175">
        <v>106</v>
      </c>
      <c r="B108" t="s">
        <v>1196</v>
      </c>
      <c r="C108" s="57" t="s">
        <v>1197</v>
      </c>
      <c r="D108" s="57" t="s">
        <v>1027</v>
      </c>
      <c r="E108" s="57" t="s">
        <v>697</v>
      </c>
      <c r="F108" s="57" t="s">
        <v>697</v>
      </c>
      <c r="G108" s="57" t="s">
        <v>697</v>
      </c>
      <c r="H108" s="57" t="s">
        <v>1198</v>
      </c>
      <c r="I108" s="57" t="s">
        <v>1027</v>
      </c>
      <c r="J108" s="57" t="s">
        <v>697</v>
      </c>
      <c r="K108" s="57" t="s">
        <v>697</v>
      </c>
      <c r="L108" s="57" t="s">
        <v>967</v>
      </c>
      <c r="M108" t="s">
        <v>1199</v>
      </c>
      <c r="N108" s="58">
        <v>2</v>
      </c>
      <c r="O108" s="56" t="s">
        <v>1200</v>
      </c>
      <c r="P108" s="56" t="s">
        <v>1201</v>
      </c>
      <c r="Q108" s="57" t="s">
        <v>700</v>
      </c>
      <c r="R108" s="177">
        <v>810</v>
      </c>
      <c r="S108" s="57" t="s">
        <v>714</v>
      </c>
      <c r="T108" s="57" t="s">
        <v>945</v>
      </c>
      <c r="U108" s="57" t="s">
        <v>1202</v>
      </c>
      <c r="V108" s="57" t="s">
        <v>1182</v>
      </c>
      <c r="W108" s="57" t="s">
        <v>704</v>
      </c>
      <c r="X108" s="57" t="s">
        <v>697</v>
      </c>
      <c r="Y108" s="57" t="s">
        <v>725</v>
      </c>
      <c r="Z108" s="57" t="s">
        <v>706</v>
      </c>
      <c r="AA108" s="178">
        <v>654080</v>
      </c>
      <c r="AB108" s="178">
        <v>200000</v>
      </c>
      <c r="AC108" s="57" t="s">
        <v>716</v>
      </c>
      <c r="AD108" s="57" t="s">
        <v>716</v>
      </c>
      <c r="AE108" s="57" t="s">
        <v>716</v>
      </c>
      <c r="AF108" s="57" t="s">
        <v>716</v>
      </c>
      <c r="AG108" s="57" t="s">
        <v>716</v>
      </c>
      <c r="AH108" s="57" t="s">
        <v>716</v>
      </c>
      <c r="AI108" s="57" t="s">
        <v>716</v>
      </c>
      <c r="AJ108" s="57" t="s">
        <v>716</v>
      </c>
      <c r="AK108" s="57" t="s">
        <v>716</v>
      </c>
      <c r="AL108" s="57" t="s">
        <v>716</v>
      </c>
    </row>
    <row r="109" spans="1:38" x14ac:dyDescent="0.35">
      <c r="A109" s="175">
        <v>107</v>
      </c>
      <c r="B109" s="57" t="s">
        <v>1203</v>
      </c>
      <c r="C109" s="57" t="s">
        <v>519</v>
      </c>
      <c r="D109" s="57" t="s">
        <v>1204</v>
      </c>
      <c r="E109" s="57" t="s">
        <v>697</v>
      </c>
      <c r="F109" s="57" t="s">
        <v>697</v>
      </c>
      <c r="G109" s="57" t="s">
        <v>697</v>
      </c>
      <c r="H109" s="57" t="s">
        <v>1205</v>
      </c>
      <c r="I109" s="57" t="s">
        <v>979</v>
      </c>
      <c r="J109" s="57" t="s">
        <v>697</v>
      </c>
      <c r="K109" s="57" t="s">
        <v>697</v>
      </c>
      <c r="L109" s="57" t="s">
        <v>28</v>
      </c>
      <c r="M109" s="57" t="s">
        <v>1206</v>
      </c>
      <c r="N109" s="58">
        <v>2</v>
      </c>
      <c r="O109" s="56" t="s">
        <v>1207</v>
      </c>
      <c r="P109" s="56" t="s">
        <v>1208</v>
      </c>
      <c r="Q109" s="57" t="s">
        <v>700</v>
      </c>
      <c r="R109" s="177">
        <v>2.5</v>
      </c>
      <c r="S109" s="57" t="s">
        <v>663</v>
      </c>
      <c r="T109" s="57" t="s">
        <v>945</v>
      </c>
      <c r="U109" s="57" t="s">
        <v>1209</v>
      </c>
      <c r="V109" s="57" t="s">
        <v>1210</v>
      </c>
      <c r="W109" s="57" t="s">
        <v>1108</v>
      </c>
      <c r="X109" s="57" t="s">
        <v>697</v>
      </c>
      <c r="Y109" s="57" t="s">
        <v>725</v>
      </c>
      <c r="Z109" s="57" t="s">
        <v>706</v>
      </c>
      <c r="AA109" s="164">
        <v>76650</v>
      </c>
      <c r="AB109" s="178">
        <v>200000</v>
      </c>
      <c r="AC109" s="57" t="s">
        <v>716</v>
      </c>
      <c r="AD109" s="57" t="s">
        <v>716</v>
      </c>
      <c r="AE109" s="57" t="s">
        <v>716</v>
      </c>
      <c r="AF109" s="57" t="s">
        <v>716</v>
      </c>
      <c r="AG109" s="57" t="s">
        <v>716</v>
      </c>
      <c r="AH109" s="57" t="s">
        <v>716</v>
      </c>
      <c r="AI109" s="57" t="s">
        <v>716</v>
      </c>
      <c r="AJ109" s="57" t="s">
        <v>716</v>
      </c>
      <c r="AK109" s="57" t="s">
        <v>716</v>
      </c>
      <c r="AL109" s="57" t="s">
        <v>716</v>
      </c>
    </row>
    <row r="110" spans="1:38" x14ac:dyDescent="0.35">
      <c r="A110" s="175">
        <v>108</v>
      </c>
      <c r="B110" s="57" t="s">
        <v>808</v>
      </c>
      <c r="C110" s="57" t="s">
        <v>1211</v>
      </c>
      <c r="D110" s="57" t="s">
        <v>1212</v>
      </c>
      <c r="E110" s="57" t="s">
        <v>697</v>
      </c>
      <c r="F110" s="57" t="s">
        <v>697</v>
      </c>
      <c r="G110" s="57" t="s">
        <v>697</v>
      </c>
      <c r="H110" s="57" t="s">
        <v>1213</v>
      </c>
      <c r="I110" s="57" t="s">
        <v>1212</v>
      </c>
      <c r="J110" s="57" t="s">
        <v>697</v>
      </c>
      <c r="K110" s="57" t="s">
        <v>697</v>
      </c>
      <c r="L110" s="57" t="s">
        <v>321</v>
      </c>
      <c r="M110" s="57" t="s">
        <v>1214</v>
      </c>
      <c r="N110" s="58">
        <v>2</v>
      </c>
      <c r="O110" s="56" t="s">
        <v>1187</v>
      </c>
      <c r="P110" s="56">
        <v>31420</v>
      </c>
      <c r="Q110" s="57" t="s">
        <v>700</v>
      </c>
      <c r="R110" s="177">
        <v>64.8</v>
      </c>
      <c r="S110" s="57" t="s">
        <v>1215</v>
      </c>
      <c r="T110" s="57" t="s">
        <v>945</v>
      </c>
      <c r="U110" s="57" t="s">
        <v>872</v>
      </c>
      <c r="V110" s="57" t="s">
        <v>1182</v>
      </c>
      <c r="W110" s="57" t="s">
        <v>704</v>
      </c>
      <c r="X110" s="57" t="s">
        <v>697</v>
      </c>
      <c r="Y110" s="57" t="s">
        <v>725</v>
      </c>
      <c r="Z110" s="57" t="s">
        <v>706</v>
      </c>
      <c r="AA110" s="178">
        <v>117325.59999999999</v>
      </c>
      <c r="AB110" s="178">
        <v>200000</v>
      </c>
      <c r="AC110" s="57" t="s">
        <v>716</v>
      </c>
      <c r="AD110" s="57" t="s">
        <v>716</v>
      </c>
      <c r="AE110" s="57" t="s">
        <v>716</v>
      </c>
      <c r="AF110" s="57" t="s">
        <v>716</v>
      </c>
      <c r="AG110" s="57" t="s">
        <v>716</v>
      </c>
      <c r="AH110" s="57" t="s">
        <v>716</v>
      </c>
      <c r="AI110" s="57" t="s">
        <v>716</v>
      </c>
      <c r="AJ110" s="57" t="s">
        <v>716</v>
      </c>
      <c r="AK110" s="57" t="s">
        <v>716</v>
      </c>
      <c r="AL110" s="57" t="s">
        <v>716</v>
      </c>
    </row>
    <row r="111" spans="1:38" x14ac:dyDescent="0.35">
      <c r="A111" s="175">
        <v>109</v>
      </c>
      <c r="B111" s="57" t="s">
        <v>1216</v>
      </c>
      <c r="C111" s="57" t="s">
        <v>1217</v>
      </c>
      <c r="D111" s="57" t="s">
        <v>868</v>
      </c>
      <c r="E111" s="57" t="s">
        <v>697</v>
      </c>
      <c r="F111" s="57" t="s">
        <v>697</v>
      </c>
      <c r="G111" s="57" t="s">
        <v>697</v>
      </c>
      <c r="H111" s="57" t="s">
        <v>1218</v>
      </c>
      <c r="I111" s="57" t="s">
        <v>870</v>
      </c>
      <c r="J111" s="57" t="s">
        <v>697</v>
      </c>
      <c r="K111" s="57" t="s">
        <v>697</v>
      </c>
      <c r="L111" s="57" t="s">
        <v>148</v>
      </c>
      <c r="M111" s="57" t="s">
        <v>1219</v>
      </c>
      <c r="N111" s="58">
        <v>2</v>
      </c>
      <c r="O111" s="56">
        <v>33981</v>
      </c>
      <c r="P111" s="56">
        <v>33281</v>
      </c>
      <c r="Q111" s="57" t="s">
        <v>700</v>
      </c>
      <c r="R111" s="177">
        <v>172.8</v>
      </c>
      <c r="S111" s="57" t="s">
        <v>1215</v>
      </c>
      <c r="T111" s="57" t="s">
        <v>697</v>
      </c>
      <c r="U111" s="57" t="s">
        <v>1220</v>
      </c>
      <c r="V111" s="57" t="s">
        <v>1182</v>
      </c>
      <c r="W111" s="57" t="s">
        <v>704</v>
      </c>
      <c r="X111" s="57" t="s">
        <v>697</v>
      </c>
      <c r="Y111" s="57" t="s">
        <v>725</v>
      </c>
      <c r="Z111" s="57" t="s">
        <v>706</v>
      </c>
      <c r="AA111" s="178">
        <v>164950.80000000002</v>
      </c>
      <c r="AB111" s="178">
        <v>200000</v>
      </c>
      <c r="AC111" s="57" t="s">
        <v>716</v>
      </c>
      <c r="AD111" s="57" t="s">
        <v>716</v>
      </c>
      <c r="AE111" s="57" t="s">
        <v>716</v>
      </c>
      <c r="AF111" s="57" t="s">
        <v>716</v>
      </c>
      <c r="AG111" s="57" t="s">
        <v>716</v>
      </c>
      <c r="AH111" s="57" t="s">
        <v>716</v>
      </c>
      <c r="AI111" s="57" t="s">
        <v>716</v>
      </c>
      <c r="AJ111" s="57" t="s">
        <v>716</v>
      </c>
      <c r="AK111" s="57" t="s">
        <v>716</v>
      </c>
      <c r="AL111" s="57" t="s">
        <v>716</v>
      </c>
    </row>
    <row r="112" spans="1:38" x14ac:dyDescent="0.35">
      <c r="A112" s="175">
        <v>110</v>
      </c>
      <c r="B112" s="57" t="s">
        <v>1221</v>
      </c>
      <c r="C112" s="57" t="s">
        <v>1222</v>
      </c>
      <c r="D112" s="57" t="s">
        <v>1223</v>
      </c>
      <c r="E112" s="57" t="s">
        <v>697</v>
      </c>
      <c r="F112" s="57" t="s">
        <v>697</v>
      </c>
      <c r="G112" s="57" t="s">
        <v>697</v>
      </c>
      <c r="H112" s="57" t="s">
        <v>1224</v>
      </c>
      <c r="I112" s="57" t="s">
        <v>1225</v>
      </c>
      <c r="J112" s="57" t="s">
        <v>697</v>
      </c>
      <c r="K112" s="57" t="s">
        <v>697</v>
      </c>
      <c r="L112" s="57" t="s">
        <v>282</v>
      </c>
      <c r="M112" s="57" t="s">
        <v>1226</v>
      </c>
      <c r="N112" s="58">
        <v>2</v>
      </c>
      <c r="O112" s="56" t="s">
        <v>1227</v>
      </c>
      <c r="P112" s="56" t="s">
        <v>1228</v>
      </c>
      <c r="Q112" s="57" t="s">
        <v>700</v>
      </c>
      <c r="R112" s="177">
        <v>72</v>
      </c>
      <c r="S112" s="57" t="s">
        <v>697</v>
      </c>
      <c r="T112" s="57" t="s">
        <v>1229</v>
      </c>
      <c r="U112" s="57" t="s">
        <v>1230</v>
      </c>
      <c r="V112" s="57" t="s">
        <v>1231</v>
      </c>
      <c r="W112" s="57" t="s">
        <v>704</v>
      </c>
      <c r="X112" s="57" t="s">
        <v>697</v>
      </c>
      <c r="Y112" s="57" t="s">
        <v>725</v>
      </c>
      <c r="Z112" s="57" t="s">
        <v>706</v>
      </c>
      <c r="AA112" s="178">
        <v>93513</v>
      </c>
      <c r="AB112" s="178">
        <v>200000</v>
      </c>
      <c r="AC112" s="57" t="s">
        <v>716</v>
      </c>
      <c r="AD112" s="57" t="s">
        <v>716</v>
      </c>
      <c r="AE112" s="57" t="s">
        <v>716</v>
      </c>
      <c r="AF112" s="57" t="s">
        <v>716</v>
      </c>
      <c r="AG112" s="57" t="s">
        <v>716</v>
      </c>
      <c r="AH112" s="57" t="s">
        <v>716</v>
      </c>
      <c r="AI112" s="57" t="s">
        <v>716</v>
      </c>
      <c r="AJ112" s="57" t="s">
        <v>716</v>
      </c>
      <c r="AK112" s="57" t="s">
        <v>716</v>
      </c>
      <c r="AL112" s="57" t="s">
        <v>716</v>
      </c>
    </row>
    <row r="113" spans="1:38" ht="203" x14ac:dyDescent="0.35">
      <c r="A113" s="175">
        <v>111</v>
      </c>
      <c r="B113" s="57" t="s">
        <v>1232</v>
      </c>
      <c r="C113" s="176" t="s">
        <v>1233</v>
      </c>
      <c r="D113" s="57" t="s">
        <v>360</v>
      </c>
      <c r="E113" s="57" t="s">
        <v>697</v>
      </c>
      <c r="F113" s="57" t="s">
        <v>697</v>
      </c>
      <c r="G113" s="57" t="s">
        <v>697</v>
      </c>
      <c r="H113" s="57" t="s">
        <v>1234</v>
      </c>
      <c r="I113" s="57" t="s">
        <v>61</v>
      </c>
      <c r="J113" s="57" t="s">
        <v>61</v>
      </c>
      <c r="K113" s="57" t="s">
        <v>61</v>
      </c>
      <c r="L113" s="57" t="s">
        <v>61</v>
      </c>
      <c r="M113" s="57" t="s">
        <v>61</v>
      </c>
      <c r="N113" s="57" t="s">
        <v>61</v>
      </c>
      <c r="O113" s="57" t="s">
        <v>61</v>
      </c>
      <c r="P113" s="57" t="s">
        <v>61</v>
      </c>
      <c r="Q113" s="57" t="s">
        <v>61</v>
      </c>
      <c r="R113" s="57" t="s">
        <v>61</v>
      </c>
      <c r="S113" s="57" t="s">
        <v>61</v>
      </c>
      <c r="T113" s="57" t="s">
        <v>61</v>
      </c>
      <c r="U113" s="57" t="s">
        <v>61</v>
      </c>
      <c r="V113" s="57" t="s">
        <v>61</v>
      </c>
      <c r="W113" s="57" t="s">
        <v>61</v>
      </c>
      <c r="X113" s="57" t="s">
        <v>61</v>
      </c>
      <c r="Y113" s="57" t="s">
        <v>61</v>
      </c>
      <c r="Z113" s="57" t="s">
        <v>61</v>
      </c>
      <c r="AA113" s="178">
        <v>0</v>
      </c>
      <c r="AB113" s="178">
        <v>0</v>
      </c>
      <c r="AC113" s="57" t="s">
        <v>61</v>
      </c>
      <c r="AD113" s="57" t="s">
        <v>61</v>
      </c>
      <c r="AE113" s="57" t="s">
        <v>61</v>
      </c>
      <c r="AF113" s="57" t="s">
        <v>61</v>
      </c>
      <c r="AG113" s="57" t="s">
        <v>61</v>
      </c>
      <c r="AH113" s="57" t="s">
        <v>61</v>
      </c>
      <c r="AI113" s="57" t="s">
        <v>61</v>
      </c>
      <c r="AJ113" s="57" t="s">
        <v>61</v>
      </c>
      <c r="AK113" s="57" t="s">
        <v>61</v>
      </c>
      <c r="AL113" s="57" t="s">
        <v>61</v>
      </c>
    </row>
    <row r="114" spans="1:38" x14ac:dyDescent="0.35">
      <c r="A114" s="175">
        <v>112</v>
      </c>
      <c r="B114" s="57" t="s">
        <v>1235</v>
      </c>
      <c r="C114" s="57" t="s">
        <v>1236</v>
      </c>
      <c r="D114" s="57" t="s">
        <v>967</v>
      </c>
      <c r="E114" s="57" t="s">
        <v>697</v>
      </c>
      <c r="F114" s="57" t="s">
        <v>697</v>
      </c>
      <c r="G114" s="57" t="s">
        <v>697</v>
      </c>
      <c r="H114" s="57" t="s">
        <v>1237</v>
      </c>
      <c r="I114" s="57" t="s">
        <v>967</v>
      </c>
      <c r="J114" s="57" t="s">
        <v>697</v>
      </c>
      <c r="K114" s="57" t="s">
        <v>697</v>
      </c>
      <c r="L114" s="57" t="s">
        <v>967</v>
      </c>
      <c r="M114" s="57" t="s">
        <v>1238</v>
      </c>
      <c r="N114" s="58">
        <v>2</v>
      </c>
      <c r="O114" s="56" t="s">
        <v>1239</v>
      </c>
      <c r="P114" s="56" t="s">
        <v>1240</v>
      </c>
      <c r="Q114" s="57" t="s">
        <v>700</v>
      </c>
      <c r="R114" s="177">
        <v>140</v>
      </c>
      <c r="S114" s="57" t="s">
        <v>697</v>
      </c>
      <c r="T114" s="57" t="s">
        <v>1229</v>
      </c>
      <c r="U114" s="57" t="s">
        <v>1241</v>
      </c>
      <c r="V114" s="57" t="s">
        <v>1231</v>
      </c>
      <c r="W114" s="57" t="s">
        <v>704</v>
      </c>
      <c r="X114" s="57" t="s">
        <v>734</v>
      </c>
      <c r="Y114" s="57" t="s">
        <v>705</v>
      </c>
      <c r="Z114" s="57" t="s">
        <v>706</v>
      </c>
      <c r="AA114" s="178">
        <v>145635</v>
      </c>
      <c r="AB114" s="178">
        <v>200000</v>
      </c>
      <c r="AC114" s="57" t="s">
        <v>716</v>
      </c>
      <c r="AD114" s="57" t="s">
        <v>716</v>
      </c>
      <c r="AE114" s="57" t="s">
        <v>716</v>
      </c>
      <c r="AF114" s="57" t="s">
        <v>716</v>
      </c>
      <c r="AG114" s="57" t="s">
        <v>716</v>
      </c>
      <c r="AH114" s="57" t="s">
        <v>716</v>
      </c>
      <c r="AI114" s="57" t="s">
        <v>716</v>
      </c>
      <c r="AJ114" s="57" t="s">
        <v>716</v>
      </c>
      <c r="AK114" s="57" t="s">
        <v>716</v>
      </c>
      <c r="AL114" s="57" t="s">
        <v>716</v>
      </c>
    </row>
    <row r="115" spans="1:38" x14ac:dyDescent="0.35">
      <c r="A115" s="175">
        <v>113</v>
      </c>
      <c r="B115" s="57" t="s">
        <v>1235</v>
      </c>
      <c r="C115" s="57" t="s">
        <v>1242</v>
      </c>
      <c r="D115" s="57" t="s">
        <v>1243</v>
      </c>
      <c r="E115" s="57" t="s">
        <v>697</v>
      </c>
      <c r="F115" s="57" t="s">
        <v>697</v>
      </c>
      <c r="G115" s="57" t="s">
        <v>697</v>
      </c>
      <c r="H115" s="57" t="s">
        <v>1237</v>
      </c>
      <c r="I115" s="57" t="s">
        <v>18</v>
      </c>
      <c r="J115" s="57" t="s">
        <v>697</v>
      </c>
      <c r="K115" s="57" t="s">
        <v>697</v>
      </c>
      <c r="L115" s="57" t="s">
        <v>18</v>
      </c>
      <c r="M115" s="57" t="s">
        <v>1244</v>
      </c>
      <c r="N115" s="58">
        <v>2</v>
      </c>
      <c r="O115" s="56" t="s">
        <v>1245</v>
      </c>
      <c r="P115" s="56" t="s">
        <v>1246</v>
      </c>
      <c r="Q115" s="57" t="s">
        <v>700</v>
      </c>
      <c r="R115" s="177">
        <v>141</v>
      </c>
      <c r="S115" s="57" t="s">
        <v>697</v>
      </c>
      <c r="T115" s="57" t="s">
        <v>1229</v>
      </c>
      <c r="U115" s="57" t="s">
        <v>1241</v>
      </c>
      <c r="V115" s="57" t="s">
        <v>1231</v>
      </c>
      <c r="W115" s="57" t="s">
        <v>704</v>
      </c>
      <c r="X115" s="57" t="s">
        <v>734</v>
      </c>
      <c r="Y115" s="57" t="s">
        <v>705</v>
      </c>
      <c r="Z115" s="57" t="s">
        <v>706</v>
      </c>
      <c r="AA115" s="178">
        <v>146401.5</v>
      </c>
      <c r="AB115" s="178">
        <v>200000</v>
      </c>
      <c r="AC115" s="57" t="s">
        <v>716</v>
      </c>
      <c r="AD115" s="57" t="s">
        <v>716</v>
      </c>
      <c r="AE115" s="57" t="s">
        <v>716</v>
      </c>
      <c r="AF115" s="57" t="s">
        <v>716</v>
      </c>
      <c r="AG115" s="57" t="s">
        <v>716</v>
      </c>
      <c r="AH115" s="57" t="s">
        <v>716</v>
      </c>
      <c r="AI115" s="57" t="s">
        <v>716</v>
      </c>
      <c r="AJ115" s="57" t="s">
        <v>716</v>
      </c>
      <c r="AK115" s="57" t="s">
        <v>716</v>
      </c>
      <c r="AL115" s="57" t="s">
        <v>716</v>
      </c>
    </row>
    <row r="116" spans="1:38" x14ac:dyDescent="0.35">
      <c r="A116" s="175">
        <v>114</v>
      </c>
      <c r="B116" s="57" t="s">
        <v>1247</v>
      </c>
      <c r="C116" s="57" t="s">
        <v>1248</v>
      </c>
      <c r="D116" s="57" t="s">
        <v>1249</v>
      </c>
      <c r="E116" s="57" t="s">
        <v>697</v>
      </c>
      <c r="F116" s="57" t="s">
        <v>697</v>
      </c>
      <c r="G116" s="57" t="s">
        <v>697</v>
      </c>
      <c r="H116" s="57" t="s">
        <v>1250</v>
      </c>
      <c r="I116" s="57" t="s">
        <v>1251</v>
      </c>
      <c r="J116" s="57" t="s">
        <v>697</v>
      </c>
      <c r="K116" s="57" t="s">
        <v>697</v>
      </c>
      <c r="L116" s="57" t="s">
        <v>18</v>
      </c>
      <c r="M116" s="57" t="s">
        <v>1252</v>
      </c>
      <c r="N116" s="58">
        <v>2</v>
      </c>
      <c r="O116" s="56" t="s">
        <v>1253</v>
      </c>
      <c r="P116" s="56">
        <v>34337</v>
      </c>
      <c r="Q116" s="57" t="s">
        <v>700</v>
      </c>
      <c r="R116" s="177">
        <v>0.3</v>
      </c>
      <c r="S116" s="57" t="s">
        <v>697</v>
      </c>
      <c r="T116" s="57" t="s">
        <v>1254</v>
      </c>
      <c r="U116" s="57" t="s">
        <v>1255</v>
      </c>
      <c r="V116" s="57" t="s">
        <v>1231</v>
      </c>
      <c r="W116" s="57" t="s">
        <v>704</v>
      </c>
      <c r="X116" s="57" t="s">
        <v>734</v>
      </c>
      <c r="Y116" s="57" t="s">
        <v>705</v>
      </c>
      <c r="Z116" s="57" t="s">
        <v>706</v>
      </c>
      <c r="AA116" s="164">
        <v>76650</v>
      </c>
      <c r="AB116" s="178">
        <v>200000</v>
      </c>
      <c r="AC116" s="57" t="s">
        <v>716</v>
      </c>
      <c r="AD116" s="57" t="s">
        <v>716</v>
      </c>
      <c r="AE116" s="57" t="s">
        <v>716</v>
      </c>
      <c r="AF116" s="57" t="s">
        <v>716</v>
      </c>
      <c r="AG116" s="57" t="s">
        <v>716</v>
      </c>
      <c r="AH116" s="57" t="s">
        <v>716</v>
      </c>
      <c r="AI116" s="57" t="s">
        <v>716</v>
      </c>
      <c r="AJ116" s="57" t="s">
        <v>716</v>
      </c>
      <c r="AK116" s="57" t="s">
        <v>716</v>
      </c>
      <c r="AL116" s="57" t="s">
        <v>716</v>
      </c>
    </row>
    <row r="117" spans="1:38" x14ac:dyDescent="0.35">
      <c r="A117" s="175">
        <v>115</v>
      </c>
      <c r="B117" s="57" t="s">
        <v>1247</v>
      </c>
      <c r="C117" s="57" t="s">
        <v>1248</v>
      </c>
      <c r="D117" s="57" t="s">
        <v>1256</v>
      </c>
      <c r="E117" s="57" t="s">
        <v>697</v>
      </c>
      <c r="F117" s="57" t="s">
        <v>697</v>
      </c>
      <c r="G117" s="57" t="s">
        <v>697</v>
      </c>
      <c r="H117" s="57" t="s">
        <v>1250</v>
      </c>
      <c r="I117" s="57" t="s">
        <v>697</v>
      </c>
      <c r="J117" s="57" t="s">
        <v>697</v>
      </c>
      <c r="K117" s="57" t="s">
        <v>697</v>
      </c>
      <c r="L117" s="57" t="s">
        <v>18</v>
      </c>
      <c r="M117" s="57" t="s">
        <v>1257</v>
      </c>
      <c r="N117" s="58">
        <v>2</v>
      </c>
      <c r="O117" s="56" t="s">
        <v>1258</v>
      </c>
      <c r="P117" s="56">
        <v>32145</v>
      </c>
      <c r="Q117" s="57" t="s">
        <v>700</v>
      </c>
      <c r="R117" s="177">
        <v>0.5</v>
      </c>
      <c r="S117" s="57" t="s">
        <v>697</v>
      </c>
      <c r="T117" s="57" t="s">
        <v>1254</v>
      </c>
      <c r="U117" s="57" t="s">
        <v>1255</v>
      </c>
      <c r="V117" s="57" t="s">
        <v>1231</v>
      </c>
      <c r="W117" s="57" t="s">
        <v>704</v>
      </c>
      <c r="X117" s="57" t="s">
        <v>734</v>
      </c>
      <c r="Y117" s="57" t="s">
        <v>705</v>
      </c>
      <c r="Z117" s="57" t="s">
        <v>706</v>
      </c>
      <c r="AA117" s="164">
        <v>76650</v>
      </c>
      <c r="AB117" s="178">
        <v>200000</v>
      </c>
      <c r="AC117" s="57" t="s">
        <v>716</v>
      </c>
      <c r="AD117" s="57" t="s">
        <v>716</v>
      </c>
      <c r="AE117" s="57" t="s">
        <v>716</v>
      </c>
      <c r="AF117" s="57" t="s">
        <v>716</v>
      </c>
      <c r="AG117" s="57" t="s">
        <v>716</v>
      </c>
      <c r="AH117" s="57" t="s">
        <v>716</v>
      </c>
      <c r="AI117" s="57" t="s">
        <v>716</v>
      </c>
      <c r="AJ117" s="57" t="s">
        <v>716</v>
      </c>
      <c r="AK117" s="57" t="s">
        <v>716</v>
      </c>
      <c r="AL117" s="57" t="s">
        <v>716</v>
      </c>
    </row>
    <row r="118" spans="1:38" x14ac:dyDescent="0.35">
      <c r="A118" s="175">
        <v>116</v>
      </c>
      <c r="B118" s="57" t="s">
        <v>1259</v>
      </c>
      <c r="C118" s="57" t="s">
        <v>1248</v>
      </c>
      <c r="D118" s="57" t="s">
        <v>1249</v>
      </c>
      <c r="E118" s="57" t="s">
        <v>697</v>
      </c>
      <c r="F118" s="57" t="s">
        <v>697</v>
      </c>
      <c r="G118" s="57" t="s">
        <v>697</v>
      </c>
      <c r="H118" s="57" t="s">
        <v>1250</v>
      </c>
      <c r="I118" s="57" t="s">
        <v>697</v>
      </c>
      <c r="J118" s="57" t="s">
        <v>697</v>
      </c>
      <c r="K118" s="57" t="s">
        <v>697</v>
      </c>
      <c r="L118" s="57" t="s">
        <v>18</v>
      </c>
      <c r="M118" s="57" t="s">
        <v>1260</v>
      </c>
      <c r="N118" s="58">
        <v>2</v>
      </c>
      <c r="O118" s="56">
        <v>34340</v>
      </c>
      <c r="P118" s="56">
        <v>33640</v>
      </c>
      <c r="Q118" s="57" t="s">
        <v>700</v>
      </c>
      <c r="R118" s="177">
        <v>255</v>
      </c>
      <c r="S118" s="57" t="s">
        <v>697</v>
      </c>
      <c r="T118" s="57" t="s">
        <v>1254</v>
      </c>
      <c r="U118" s="57" t="s">
        <v>1255</v>
      </c>
      <c r="V118" s="57" t="s">
        <v>1231</v>
      </c>
      <c r="W118" s="57" t="s">
        <v>704</v>
      </c>
      <c r="X118" s="57" t="s">
        <v>734</v>
      </c>
      <c r="Y118" s="57" t="s">
        <v>705</v>
      </c>
      <c r="Z118" s="57" t="s">
        <v>706</v>
      </c>
      <c r="AA118" s="164">
        <v>206955</v>
      </c>
      <c r="AB118" s="178">
        <v>200000</v>
      </c>
      <c r="AC118" s="57" t="s">
        <v>716</v>
      </c>
      <c r="AD118" s="57" t="s">
        <v>716</v>
      </c>
      <c r="AE118" s="57" t="s">
        <v>716</v>
      </c>
      <c r="AF118" s="57" t="s">
        <v>716</v>
      </c>
      <c r="AG118" s="57" t="s">
        <v>716</v>
      </c>
      <c r="AH118" s="57" t="s">
        <v>716</v>
      </c>
      <c r="AI118" s="57" t="s">
        <v>716</v>
      </c>
      <c r="AJ118" s="57" t="s">
        <v>716</v>
      </c>
      <c r="AK118" s="57" t="s">
        <v>716</v>
      </c>
      <c r="AL118" s="57" t="s">
        <v>716</v>
      </c>
    </row>
    <row r="119" spans="1:38" x14ac:dyDescent="0.35">
      <c r="A119" s="175">
        <v>117</v>
      </c>
      <c r="B119" s="57" t="s">
        <v>1261</v>
      </c>
      <c r="C119" s="57" t="s">
        <v>1262</v>
      </c>
      <c r="D119" s="57" t="s">
        <v>697</v>
      </c>
      <c r="E119" s="57" t="s">
        <v>697</v>
      </c>
      <c r="F119" s="57" t="s">
        <v>697</v>
      </c>
      <c r="G119" s="57" t="s">
        <v>697</v>
      </c>
      <c r="H119" s="57" t="s">
        <v>1263</v>
      </c>
      <c r="I119" s="57" t="s">
        <v>697</v>
      </c>
      <c r="J119" s="57" t="s">
        <v>697</v>
      </c>
      <c r="K119" s="57" t="s">
        <v>697</v>
      </c>
      <c r="L119" s="57" t="s">
        <v>28</v>
      </c>
      <c r="M119" s="57" t="s">
        <v>1264</v>
      </c>
      <c r="N119" s="58">
        <v>1</v>
      </c>
      <c r="O119" s="56" t="s">
        <v>1265</v>
      </c>
      <c r="P119" s="56" t="s">
        <v>1266</v>
      </c>
      <c r="Q119" s="57" t="s">
        <v>700</v>
      </c>
      <c r="R119" s="177" t="s">
        <v>697</v>
      </c>
      <c r="S119" s="57" t="s">
        <v>697</v>
      </c>
      <c r="T119" s="57" t="s">
        <v>945</v>
      </c>
      <c r="U119" s="57" t="s">
        <v>1241</v>
      </c>
      <c r="V119" s="57" t="s">
        <v>1231</v>
      </c>
      <c r="W119" s="57" t="s">
        <v>704</v>
      </c>
      <c r="X119" s="57" t="s">
        <v>734</v>
      </c>
      <c r="Y119" s="57" t="s">
        <v>705</v>
      </c>
      <c r="Z119" s="57" t="s">
        <v>706</v>
      </c>
      <c r="AA119" s="164">
        <v>76650</v>
      </c>
      <c r="AB119" s="178">
        <v>200000</v>
      </c>
      <c r="AC119" s="57" t="s">
        <v>716</v>
      </c>
      <c r="AD119" s="57" t="s">
        <v>716</v>
      </c>
      <c r="AE119" s="57" t="s">
        <v>716</v>
      </c>
      <c r="AF119" s="57" t="s">
        <v>716</v>
      </c>
      <c r="AG119" s="57" t="s">
        <v>716</v>
      </c>
      <c r="AH119" s="57" t="s">
        <v>716</v>
      </c>
      <c r="AI119" s="57" t="s">
        <v>716</v>
      </c>
      <c r="AJ119" s="57" t="s">
        <v>716</v>
      </c>
      <c r="AK119" s="57" t="s">
        <v>716</v>
      </c>
      <c r="AL119" s="57" t="s">
        <v>716</v>
      </c>
    </row>
    <row r="120" spans="1:38" x14ac:dyDescent="0.35">
      <c r="A120" s="175">
        <v>118</v>
      </c>
      <c r="B120" s="57" t="s">
        <v>1267</v>
      </c>
      <c r="C120" s="57" t="s">
        <v>1268</v>
      </c>
      <c r="D120" s="57" t="s">
        <v>719</v>
      </c>
      <c r="E120" s="57" t="s">
        <v>697</v>
      </c>
      <c r="F120" s="57" t="s">
        <v>697</v>
      </c>
      <c r="G120" s="57" t="s">
        <v>697</v>
      </c>
      <c r="H120" s="57" t="s">
        <v>1269</v>
      </c>
      <c r="I120" s="57" t="s">
        <v>697</v>
      </c>
      <c r="J120" s="57" t="s">
        <v>697</v>
      </c>
      <c r="K120" s="57" t="s">
        <v>697</v>
      </c>
      <c r="L120" s="57" t="s">
        <v>721</v>
      </c>
      <c r="M120" s="57" t="s">
        <v>1270</v>
      </c>
      <c r="N120" s="58">
        <v>1</v>
      </c>
      <c r="O120" s="56">
        <v>33421</v>
      </c>
      <c r="P120" s="56">
        <v>33087</v>
      </c>
      <c r="Q120" s="57" t="s">
        <v>700</v>
      </c>
      <c r="R120" s="177" t="s">
        <v>697</v>
      </c>
      <c r="S120" s="57" t="s">
        <v>697</v>
      </c>
      <c r="T120" s="57" t="s">
        <v>945</v>
      </c>
      <c r="U120" s="57" t="s">
        <v>1271</v>
      </c>
      <c r="V120" s="57" t="s">
        <v>1231</v>
      </c>
      <c r="W120" s="57" t="s">
        <v>704</v>
      </c>
      <c r="X120" s="57" t="s">
        <v>61</v>
      </c>
      <c r="Y120" s="57" t="s">
        <v>705</v>
      </c>
      <c r="Z120" s="57" t="s">
        <v>706</v>
      </c>
      <c r="AA120" s="164">
        <v>76650</v>
      </c>
      <c r="AB120" s="178">
        <v>200000</v>
      </c>
      <c r="AC120" s="57" t="s">
        <v>716</v>
      </c>
      <c r="AD120" s="57" t="s">
        <v>716</v>
      </c>
      <c r="AE120" s="57" t="s">
        <v>716</v>
      </c>
      <c r="AF120" s="57" t="s">
        <v>716</v>
      </c>
      <c r="AG120" s="57" t="s">
        <v>716</v>
      </c>
      <c r="AH120" s="57" t="s">
        <v>716</v>
      </c>
      <c r="AI120" s="57" t="s">
        <v>716</v>
      </c>
      <c r="AJ120" s="57" t="s">
        <v>716</v>
      </c>
      <c r="AK120" s="57" t="s">
        <v>716</v>
      </c>
      <c r="AL120" s="57" t="s">
        <v>716</v>
      </c>
    </row>
    <row r="121" spans="1:38" x14ac:dyDescent="0.35">
      <c r="A121" s="175">
        <v>119</v>
      </c>
      <c r="B121" s="57" t="s">
        <v>1272</v>
      </c>
      <c r="C121" s="57" t="s">
        <v>1273</v>
      </c>
      <c r="D121" s="57" t="s">
        <v>1274</v>
      </c>
      <c r="E121" s="57"/>
      <c r="F121" s="57"/>
      <c r="G121" s="57"/>
      <c r="H121" s="57"/>
      <c r="I121" s="57"/>
      <c r="J121" s="57"/>
      <c r="K121" s="57"/>
      <c r="L121" s="57"/>
      <c r="M121" s="57"/>
      <c r="N121" s="58"/>
      <c r="O121" s="56"/>
      <c r="P121" s="56"/>
      <c r="Q121" s="57"/>
      <c r="R121" s="177"/>
      <c r="S121" s="57"/>
      <c r="T121" s="57"/>
      <c r="U121" s="57"/>
      <c r="V121" s="57"/>
      <c r="W121" s="57"/>
      <c r="X121" s="57"/>
      <c r="Y121" s="57"/>
      <c r="Z121" s="57"/>
      <c r="AA121" s="187">
        <v>0</v>
      </c>
      <c r="AB121" s="187">
        <v>0</v>
      </c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</row>
    <row r="122" spans="1:38" x14ac:dyDescent="0.35">
      <c r="A122" s="175">
        <v>120</v>
      </c>
      <c r="B122" s="57" t="s">
        <v>1275</v>
      </c>
      <c r="C122" s="57" t="s">
        <v>1276</v>
      </c>
      <c r="D122" s="57" t="s">
        <v>1277</v>
      </c>
      <c r="E122" s="57"/>
      <c r="F122" s="57"/>
      <c r="G122" s="57"/>
      <c r="H122" s="57"/>
      <c r="I122" s="57"/>
      <c r="J122" s="57"/>
      <c r="K122" s="57"/>
      <c r="L122" s="57"/>
      <c r="M122" s="57"/>
      <c r="N122" s="58"/>
      <c r="O122" s="56"/>
      <c r="P122" s="56"/>
      <c r="Q122" s="57"/>
      <c r="R122" s="177"/>
      <c r="S122" s="57"/>
      <c r="T122" s="57"/>
      <c r="U122" s="57"/>
      <c r="V122" s="57"/>
      <c r="W122" s="57"/>
      <c r="X122" s="57"/>
      <c r="Y122" s="57"/>
      <c r="Z122" s="57"/>
      <c r="AA122" s="178">
        <v>0</v>
      </c>
      <c r="AB122" s="178">
        <v>0</v>
      </c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</row>
    <row r="123" spans="1:38" x14ac:dyDescent="0.35">
      <c r="A123" s="175">
        <v>121</v>
      </c>
      <c r="B123" s="57" t="s">
        <v>1278</v>
      </c>
      <c r="C123" s="57" t="s">
        <v>1279</v>
      </c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8"/>
      <c r="O123" s="56"/>
      <c r="P123" s="56"/>
      <c r="Q123" s="57"/>
      <c r="R123" s="177"/>
      <c r="S123" s="57"/>
      <c r="T123" s="57"/>
      <c r="U123" s="57"/>
      <c r="V123" s="57"/>
      <c r="W123" s="57"/>
      <c r="X123" s="57"/>
      <c r="Y123" s="57"/>
      <c r="Z123" s="57"/>
      <c r="AA123" s="178">
        <v>0</v>
      </c>
      <c r="AB123" s="178">
        <v>0</v>
      </c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</row>
    <row r="124" spans="1:38" x14ac:dyDescent="0.35">
      <c r="A124" s="175">
        <v>122</v>
      </c>
      <c r="B124" s="57" t="s">
        <v>1280</v>
      </c>
      <c r="C124" s="57" t="s">
        <v>1281</v>
      </c>
      <c r="D124" s="57" t="s">
        <v>1282</v>
      </c>
      <c r="E124" s="57" t="s">
        <v>697</v>
      </c>
      <c r="F124" s="57" t="s">
        <v>697</v>
      </c>
      <c r="G124" s="57" t="s">
        <v>697</v>
      </c>
      <c r="H124" s="57" t="s">
        <v>1283</v>
      </c>
      <c r="I124" s="57" t="s">
        <v>697</v>
      </c>
      <c r="J124" s="57" t="s">
        <v>697</v>
      </c>
      <c r="K124" s="57" t="s">
        <v>697</v>
      </c>
      <c r="L124" s="57" t="s">
        <v>148</v>
      </c>
      <c r="M124" s="57" t="s">
        <v>1284</v>
      </c>
      <c r="N124" s="58">
        <v>2</v>
      </c>
      <c r="O124" s="56">
        <v>31899</v>
      </c>
      <c r="P124" s="56">
        <v>31930</v>
      </c>
      <c r="Q124" s="57" t="s">
        <v>700</v>
      </c>
      <c r="R124" s="177" t="s">
        <v>697</v>
      </c>
      <c r="S124" s="57" t="s">
        <v>697</v>
      </c>
      <c r="T124" s="57" t="s">
        <v>945</v>
      </c>
      <c r="U124" s="57" t="s">
        <v>1241</v>
      </c>
      <c r="V124" s="57" t="s">
        <v>1157</v>
      </c>
      <c r="W124" s="57" t="s">
        <v>704</v>
      </c>
      <c r="X124" s="57" t="s">
        <v>61</v>
      </c>
      <c r="Y124" s="57" t="s">
        <v>705</v>
      </c>
      <c r="Z124" s="57" t="s">
        <v>706</v>
      </c>
      <c r="AA124" s="164">
        <v>76650</v>
      </c>
      <c r="AB124" s="178">
        <v>200000</v>
      </c>
      <c r="AC124" s="57" t="s">
        <v>716</v>
      </c>
      <c r="AD124" s="57" t="s">
        <v>716</v>
      </c>
      <c r="AE124" s="57" t="s">
        <v>716</v>
      </c>
      <c r="AF124" s="57" t="s">
        <v>716</v>
      </c>
      <c r="AG124" s="57" t="s">
        <v>716</v>
      </c>
      <c r="AH124" s="57" t="s">
        <v>716</v>
      </c>
      <c r="AI124" s="57" t="s">
        <v>716</v>
      </c>
      <c r="AJ124" s="57" t="s">
        <v>716</v>
      </c>
      <c r="AK124" s="57" t="s">
        <v>716</v>
      </c>
      <c r="AL124" s="57" t="s">
        <v>716</v>
      </c>
    </row>
    <row r="125" spans="1:38" x14ac:dyDescent="0.35">
      <c r="A125" s="175">
        <v>123</v>
      </c>
      <c r="B125" s="159" t="s">
        <v>1280</v>
      </c>
      <c r="C125" s="159" t="s">
        <v>1281</v>
      </c>
      <c r="D125" s="159" t="s">
        <v>1285</v>
      </c>
      <c r="E125" s="159" t="s">
        <v>697</v>
      </c>
      <c r="F125" s="159" t="s">
        <v>697</v>
      </c>
      <c r="G125" s="159" t="s">
        <v>697</v>
      </c>
      <c r="H125" s="159" t="s">
        <v>1283</v>
      </c>
      <c r="I125" s="159" t="s">
        <v>697</v>
      </c>
      <c r="J125" s="159" t="s">
        <v>697</v>
      </c>
      <c r="K125" s="159" t="s">
        <v>697</v>
      </c>
      <c r="L125" s="159" t="s">
        <v>148</v>
      </c>
      <c r="M125" s="159" t="s">
        <v>1286</v>
      </c>
      <c r="N125" s="160">
        <v>2</v>
      </c>
      <c r="O125" s="161">
        <v>31899</v>
      </c>
      <c r="P125" s="161">
        <v>31930</v>
      </c>
      <c r="Q125" s="159" t="s">
        <v>700</v>
      </c>
      <c r="R125" s="162">
        <v>36.4</v>
      </c>
      <c r="S125" s="159" t="s">
        <v>697</v>
      </c>
      <c r="T125" s="159" t="s">
        <v>945</v>
      </c>
      <c r="U125" s="159" t="s">
        <v>1241</v>
      </c>
      <c r="V125" s="159" t="s">
        <v>1157</v>
      </c>
      <c r="W125" s="159" t="s">
        <v>704</v>
      </c>
      <c r="X125" s="159" t="s">
        <v>61</v>
      </c>
      <c r="Y125" s="159" t="s">
        <v>705</v>
      </c>
      <c r="Z125" s="159" t="s">
        <v>706</v>
      </c>
      <c r="AA125" s="164">
        <v>76650</v>
      </c>
      <c r="AB125" s="164">
        <v>200000</v>
      </c>
      <c r="AC125" s="159" t="s">
        <v>716</v>
      </c>
      <c r="AD125" s="159" t="s">
        <v>716</v>
      </c>
      <c r="AE125" s="159" t="s">
        <v>716</v>
      </c>
      <c r="AF125" s="159" t="s">
        <v>716</v>
      </c>
      <c r="AG125" s="159" t="s">
        <v>716</v>
      </c>
      <c r="AH125" s="159" t="s">
        <v>716</v>
      </c>
      <c r="AI125" s="159" t="s">
        <v>716</v>
      </c>
      <c r="AJ125" s="159" t="s">
        <v>716</v>
      </c>
      <c r="AK125" s="159" t="s">
        <v>716</v>
      </c>
      <c r="AL125" s="159" t="s">
        <v>716</v>
      </c>
    </row>
    <row r="126" spans="1:38" x14ac:dyDescent="0.35">
      <c r="A126" s="175">
        <v>124</v>
      </c>
      <c r="B126" s="159" t="s">
        <v>1280</v>
      </c>
      <c r="C126" s="159" t="s">
        <v>1281</v>
      </c>
      <c r="D126" s="159" t="s">
        <v>1287</v>
      </c>
      <c r="E126" s="159" t="s">
        <v>697</v>
      </c>
      <c r="F126" s="159" t="s">
        <v>697</v>
      </c>
      <c r="G126" s="159" t="s">
        <v>697</v>
      </c>
      <c r="H126" s="159" t="s">
        <v>1283</v>
      </c>
      <c r="I126" s="159" t="s">
        <v>697</v>
      </c>
      <c r="J126" s="159" t="s">
        <v>697</v>
      </c>
      <c r="K126" s="159" t="s">
        <v>697</v>
      </c>
      <c r="L126" s="159" t="s">
        <v>148</v>
      </c>
      <c r="M126" s="159" t="s">
        <v>1288</v>
      </c>
      <c r="N126" s="160">
        <v>2</v>
      </c>
      <c r="O126" s="161">
        <v>31899</v>
      </c>
      <c r="P126" s="161">
        <v>31930</v>
      </c>
      <c r="Q126" s="159" t="s">
        <v>700</v>
      </c>
      <c r="R126" s="162" t="s">
        <v>697</v>
      </c>
      <c r="S126" s="159" t="s">
        <v>697</v>
      </c>
      <c r="T126" s="159" t="s">
        <v>945</v>
      </c>
      <c r="U126" s="159" t="s">
        <v>1241</v>
      </c>
      <c r="V126" s="159" t="s">
        <v>1157</v>
      </c>
      <c r="W126" s="159" t="s">
        <v>704</v>
      </c>
      <c r="X126" s="159" t="s">
        <v>61</v>
      </c>
      <c r="Y126" s="159" t="s">
        <v>705</v>
      </c>
      <c r="Z126" s="159" t="s">
        <v>706</v>
      </c>
      <c r="AA126" s="164">
        <v>76650</v>
      </c>
      <c r="AB126" s="164">
        <v>200000</v>
      </c>
      <c r="AC126" s="159" t="s">
        <v>716</v>
      </c>
      <c r="AD126" s="159" t="s">
        <v>716</v>
      </c>
      <c r="AE126" s="159" t="s">
        <v>716</v>
      </c>
      <c r="AF126" s="159" t="s">
        <v>716</v>
      </c>
      <c r="AG126" s="159" t="s">
        <v>716</v>
      </c>
      <c r="AH126" s="159" t="s">
        <v>716</v>
      </c>
      <c r="AI126" s="159" t="s">
        <v>716</v>
      </c>
      <c r="AJ126" s="159" t="s">
        <v>716</v>
      </c>
      <c r="AK126" s="159" t="s">
        <v>716</v>
      </c>
      <c r="AL126" s="159" t="s">
        <v>716</v>
      </c>
    </row>
    <row r="127" spans="1:38" x14ac:dyDescent="0.35">
      <c r="A127" s="175">
        <v>125</v>
      </c>
      <c r="B127" s="159" t="s">
        <v>1280</v>
      </c>
      <c r="C127" s="159" t="s">
        <v>1281</v>
      </c>
      <c r="D127" s="159" t="s">
        <v>1289</v>
      </c>
      <c r="E127" s="159" t="s">
        <v>697</v>
      </c>
      <c r="F127" s="159" t="s">
        <v>697</v>
      </c>
      <c r="G127" s="159" t="s">
        <v>697</v>
      </c>
      <c r="H127" s="159" t="s">
        <v>1283</v>
      </c>
      <c r="I127" s="159" t="s">
        <v>697</v>
      </c>
      <c r="J127" s="159" t="s">
        <v>697</v>
      </c>
      <c r="K127" s="159" t="s">
        <v>697</v>
      </c>
      <c r="L127" s="159" t="s">
        <v>148</v>
      </c>
      <c r="M127" s="159" t="s">
        <v>1290</v>
      </c>
      <c r="N127" s="160">
        <v>2</v>
      </c>
      <c r="O127" s="161">
        <v>31899</v>
      </c>
      <c r="P127" s="161">
        <v>31930</v>
      </c>
      <c r="Q127" s="159" t="s">
        <v>700</v>
      </c>
      <c r="R127" s="162" t="s">
        <v>697</v>
      </c>
      <c r="S127" s="159" t="s">
        <v>697</v>
      </c>
      <c r="T127" s="159" t="s">
        <v>945</v>
      </c>
      <c r="U127" s="159" t="s">
        <v>1241</v>
      </c>
      <c r="V127" s="159" t="s">
        <v>1157</v>
      </c>
      <c r="W127" s="159" t="s">
        <v>704</v>
      </c>
      <c r="X127" s="159" t="s">
        <v>61</v>
      </c>
      <c r="Y127" s="159" t="s">
        <v>705</v>
      </c>
      <c r="Z127" s="159" t="s">
        <v>706</v>
      </c>
      <c r="AA127" s="164">
        <v>76650</v>
      </c>
      <c r="AB127" s="164">
        <v>200000</v>
      </c>
      <c r="AC127" s="159" t="s">
        <v>716</v>
      </c>
      <c r="AD127" s="159" t="s">
        <v>716</v>
      </c>
      <c r="AE127" s="159" t="s">
        <v>716</v>
      </c>
      <c r="AF127" s="159" t="s">
        <v>716</v>
      </c>
      <c r="AG127" s="159" t="s">
        <v>716</v>
      </c>
      <c r="AH127" s="159" t="s">
        <v>716</v>
      </c>
      <c r="AI127" s="159" t="s">
        <v>716</v>
      </c>
      <c r="AJ127" s="159" t="s">
        <v>716</v>
      </c>
      <c r="AK127" s="159" t="s">
        <v>716</v>
      </c>
      <c r="AL127" s="159" t="s">
        <v>716</v>
      </c>
    </row>
    <row r="128" spans="1:38" x14ac:dyDescent="0.35">
      <c r="A128" s="175">
        <v>126</v>
      </c>
      <c r="B128" s="159" t="s">
        <v>1280</v>
      </c>
      <c r="C128" s="159" t="s">
        <v>1281</v>
      </c>
      <c r="D128" s="159" t="s">
        <v>1291</v>
      </c>
      <c r="E128" s="159" t="s">
        <v>697</v>
      </c>
      <c r="F128" s="159" t="s">
        <v>697</v>
      </c>
      <c r="G128" s="159" t="s">
        <v>697</v>
      </c>
      <c r="H128" s="159" t="s">
        <v>1283</v>
      </c>
      <c r="I128" s="159" t="s">
        <v>697</v>
      </c>
      <c r="J128" s="159" t="s">
        <v>697</v>
      </c>
      <c r="K128" s="159" t="s">
        <v>697</v>
      </c>
      <c r="L128" s="159" t="s">
        <v>148</v>
      </c>
      <c r="M128" s="159" t="s">
        <v>1292</v>
      </c>
      <c r="N128" s="160">
        <v>2</v>
      </c>
      <c r="O128" s="161">
        <v>31899</v>
      </c>
      <c r="P128" s="161">
        <v>31930</v>
      </c>
      <c r="Q128" s="159" t="s">
        <v>700</v>
      </c>
      <c r="R128" s="162" t="s">
        <v>697</v>
      </c>
      <c r="S128" s="159" t="s">
        <v>697</v>
      </c>
      <c r="T128" s="159" t="s">
        <v>945</v>
      </c>
      <c r="U128" s="159" t="s">
        <v>1241</v>
      </c>
      <c r="V128" s="159" t="s">
        <v>1157</v>
      </c>
      <c r="W128" s="159" t="s">
        <v>704</v>
      </c>
      <c r="X128" s="159" t="s">
        <v>61</v>
      </c>
      <c r="Y128" s="159" t="s">
        <v>705</v>
      </c>
      <c r="Z128" s="159" t="s">
        <v>706</v>
      </c>
      <c r="AA128" s="164">
        <v>76650</v>
      </c>
      <c r="AB128" s="164">
        <v>200000</v>
      </c>
      <c r="AC128" s="159" t="s">
        <v>716</v>
      </c>
      <c r="AD128" s="159" t="s">
        <v>716</v>
      </c>
      <c r="AE128" s="159" t="s">
        <v>716</v>
      </c>
      <c r="AF128" s="159" t="s">
        <v>716</v>
      </c>
      <c r="AG128" s="159" t="s">
        <v>716</v>
      </c>
      <c r="AH128" s="159" t="s">
        <v>716</v>
      </c>
      <c r="AI128" s="159" t="s">
        <v>716</v>
      </c>
      <c r="AJ128" s="159" t="s">
        <v>716</v>
      </c>
      <c r="AK128" s="159" t="s">
        <v>716</v>
      </c>
      <c r="AL128" s="159" t="s">
        <v>716</v>
      </c>
    </row>
    <row r="129" spans="1:38" x14ac:dyDescent="0.35">
      <c r="A129" s="175">
        <v>127</v>
      </c>
      <c r="B129" s="159" t="s">
        <v>1280</v>
      </c>
      <c r="C129" s="159" t="s">
        <v>1281</v>
      </c>
      <c r="D129" s="159" t="s">
        <v>1293</v>
      </c>
      <c r="E129" s="159" t="s">
        <v>697</v>
      </c>
      <c r="F129" s="159" t="s">
        <v>697</v>
      </c>
      <c r="G129" s="159" t="s">
        <v>697</v>
      </c>
      <c r="H129" s="159" t="s">
        <v>1283</v>
      </c>
      <c r="I129" s="159" t="s">
        <v>697</v>
      </c>
      <c r="J129" s="159" t="s">
        <v>697</v>
      </c>
      <c r="K129" s="159" t="s">
        <v>697</v>
      </c>
      <c r="L129" s="159" t="s">
        <v>148</v>
      </c>
      <c r="M129" s="159" t="s">
        <v>1294</v>
      </c>
      <c r="N129" s="160">
        <v>2</v>
      </c>
      <c r="O129" s="161">
        <v>31899</v>
      </c>
      <c r="P129" s="161">
        <v>31930</v>
      </c>
      <c r="Q129" s="159" t="s">
        <v>700</v>
      </c>
      <c r="R129" s="162" t="s">
        <v>697</v>
      </c>
      <c r="S129" s="159" t="s">
        <v>697</v>
      </c>
      <c r="T129" s="159" t="s">
        <v>945</v>
      </c>
      <c r="U129" s="159" t="s">
        <v>1241</v>
      </c>
      <c r="V129" s="159" t="s">
        <v>1157</v>
      </c>
      <c r="W129" s="159" t="s">
        <v>704</v>
      </c>
      <c r="X129" s="159" t="s">
        <v>61</v>
      </c>
      <c r="Y129" s="159" t="s">
        <v>705</v>
      </c>
      <c r="Z129" s="159" t="s">
        <v>706</v>
      </c>
      <c r="AA129" s="164">
        <v>76650</v>
      </c>
      <c r="AB129" s="164">
        <v>200000</v>
      </c>
      <c r="AC129" s="159" t="s">
        <v>716</v>
      </c>
      <c r="AD129" s="159" t="s">
        <v>716</v>
      </c>
      <c r="AE129" s="159" t="s">
        <v>716</v>
      </c>
      <c r="AF129" s="159" t="s">
        <v>716</v>
      </c>
      <c r="AG129" s="159" t="s">
        <v>716</v>
      </c>
      <c r="AH129" s="159" t="s">
        <v>716</v>
      </c>
      <c r="AI129" s="159" t="s">
        <v>716</v>
      </c>
      <c r="AJ129" s="159" t="s">
        <v>716</v>
      </c>
      <c r="AK129" s="159" t="s">
        <v>716</v>
      </c>
      <c r="AL129" s="159" t="s">
        <v>716</v>
      </c>
    </row>
    <row r="130" spans="1:38" x14ac:dyDescent="0.35">
      <c r="A130" s="175">
        <v>128</v>
      </c>
      <c r="B130" s="159" t="s">
        <v>1280</v>
      </c>
      <c r="C130" s="159" t="s">
        <v>1281</v>
      </c>
      <c r="D130" s="159" t="s">
        <v>1295</v>
      </c>
      <c r="E130" s="159" t="s">
        <v>697</v>
      </c>
      <c r="F130" s="159" t="s">
        <v>697</v>
      </c>
      <c r="G130" s="159" t="s">
        <v>697</v>
      </c>
      <c r="H130" s="159" t="s">
        <v>1283</v>
      </c>
      <c r="I130" s="159" t="s">
        <v>697</v>
      </c>
      <c r="J130" s="159" t="s">
        <v>697</v>
      </c>
      <c r="K130" s="159" t="s">
        <v>697</v>
      </c>
      <c r="L130" s="159" t="s">
        <v>148</v>
      </c>
      <c r="M130" s="159" t="s">
        <v>1296</v>
      </c>
      <c r="N130" s="160">
        <v>2</v>
      </c>
      <c r="O130" s="161">
        <v>31534</v>
      </c>
      <c r="P130" s="161">
        <v>30835</v>
      </c>
      <c r="Q130" s="159" t="s">
        <v>700</v>
      </c>
      <c r="R130" s="162" t="s">
        <v>697</v>
      </c>
      <c r="S130" s="159" t="s">
        <v>697</v>
      </c>
      <c r="T130" s="159" t="s">
        <v>945</v>
      </c>
      <c r="U130" s="159" t="s">
        <v>1241</v>
      </c>
      <c r="V130" s="159" t="s">
        <v>1157</v>
      </c>
      <c r="W130" s="159" t="s">
        <v>704</v>
      </c>
      <c r="X130" s="159" t="s">
        <v>61</v>
      </c>
      <c r="Y130" s="159" t="s">
        <v>705</v>
      </c>
      <c r="Z130" s="159" t="s">
        <v>706</v>
      </c>
      <c r="AA130" s="164">
        <v>76650</v>
      </c>
      <c r="AB130" s="164">
        <v>200000</v>
      </c>
      <c r="AC130" s="159" t="s">
        <v>716</v>
      </c>
      <c r="AD130" s="159" t="s">
        <v>716</v>
      </c>
      <c r="AE130" s="159" t="s">
        <v>716</v>
      </c>
      <c r="AF130" s="159" t="s">
        <v>716</v>
      </c>
      <c r="AG130" s="159" t="s">
        <v>716</v>
      </c>
      <c r="AH130" s="159" t="s">
        <v>716</v>
      </c>
      <c r="AI130" s="159" t="s">
        <v>716</v>
      </c>
      <c r="AJ130" s="159" t="s">
        <v>716</v>
      </c>
      <c r="AK130" s="159" t="s">
        <v>716</v>
      </c>
      <c r="AL130" s="159" t="s">
        <v>716</v>
      </c>
    </row>
    <row r="131" spans="1:38" x14ac:dyDescent="0.35">
      <c r="A131" s="175">
        <v>129</v>
      </c>
      <c r="B131" s="159" t="s">
        <v>1280</v>
      </c>
      <c r="C131" s="159" t="s">
        <v>1281</v>
      </c>
      <c r="D131" s="159" t="s">
        <v>1297</v>
      </c>
      <c r="E131" s="159" t="s">
        <v>697</v>
      </c>
      <c r="F131" s="159" t="s">
        <v>697</v>
      </c>
      <c r="G131" s="159" t="s">
        <v>697</v>
      </c>
      <c r="H131" s="159" t="s">
        <v>1283</v>
      </c>
      <c r="I131" s="159" t="s">
        <v>697</v>
      </c>
      <c r="J131" s="159" t="s">
        <v>697</v>
      </c>
      <c r="K131" s="159" t="s">
        <v>697</v>
      </c>
      <c r="L131" s="159" t="s">
        <v>148</v>
      </c>
      <c r="M131" s="159" t="s">
        <v>1298</v>
      </c>
      <c r="N131" s="160">
        <v>2</v>
      </c>
      <c r="O131" s="161">
        <v>31534</v>
      </c>
      <c r="P131" s="161">
        <v>30835</v>
      </c>
      <c r="Q131" s="159" t="s">
        <v>700</v>
      </c>
      <c r="R131" s="162" t="s">
        <v>697</v>
      </c>
      <c r="S131" s="159" t="s">
        <v>697</v>
      </c>
      <c r="T131" s="159" t="s">
        <v>945</v>
      </c>
      <c r="U131" s="159" t="s">
        <v>1241</v>
      </c>
      <c r="V131" s="159" t="s">
        <v>1157</v>
      </c>
      <c r="W131" s="159" t="s">
        <v>704</v>
      </c>
      <c r="X131" s="159" t="s">
        <v>61</v>
      </c>
      <c r="Y131" s="159" t="s">
        <v>705</v>
      </c>
      <c r="Z131" s="159" t="s">
        <v>706</v>
      </c>
      <c r="AA131" s="164">
        <v>76650</v>
      </c>
      <c r="AB131" s="164">
        <v>200000</v>
      </c>
      <c r="AC131" s="159" t="s">
        <v>716</v>
      </c>
      <c r="AD131" s="159" t="s">
        <v>716</v>
      </c>
      <c r="AE131" s="159" t="s">
        <v>716</v>
      </c>
      <c r="AF131" s="159" t="s">
        <v>716</v>
      </c>
      <c r="AG131" s="159" t="s">
        <v>716</v>
      </c>
      <c r="AH131" s="159" t="s">
        <v>716</v>
      </c>
      <c r="AI131" s="159" t="s">
        <v>716</v>
      </c>
      <c r="AJ131" s="159" t="s">
        <v>716</v>
      </c>
      <c r="AK131" s="159" t="s">
        <v>716</v>
      </c>
      <c r="AL131" s="159" t="s">
        <v>716</v>
      </c>
    </row>
    <row r="132" spans="1:38" x14ac:dyDescent="0.35">
      <c r="A132" s="175">
        <v>130</v>
      </c>
      <c r="B132" s="159" t="s">
        <v>1280</v>
      </c>
      <c r="C132" s="159" t="s">
        <v>1281</v>
      </c>
      <c r="D132" s="159" t="s">
        <v>1299</v>
      </c>
      <c r="E132" s="159" t="s">
        <v>697</v>
      </c>
      <c r="F132" s="159" t="s">
        <v>697</v>
      </c>
      <c r="G132" s="159" t="s">
        <v>697</v>
      </c>
      <c r="H132" s="159" t="s">
        <v>1283</v>
      </c>
      <c r="I132" s="159" t="s">
        <v>697</v>
      </c>
      <c r="J132" s="159" t="s">
        <v>697</v>
      </c>
      <c r="K132" s="159" t="s">
        <v>697</v>
      </c>
      <c r="L132" s="159" t="s">
        <v>148</v>
      </c>
      <c r="M132" s="159" t="s">
        <v>1300</v>
      </c>
      <c r="N132" s="160">
        <v>2</v>
      </c>
      <c r="O132" s="161">
        <v>31534</v>
      </c>
      <c r="P132" s="161">
        <v>30835</v>
      </c>
      <c r="Q132" s="159" t="s">
        <v>700</v>
      </c>
      <c r="R132" s="162" t="s">
        <v>697</v>
      </c>
      <c r="S132" s="159" t="s">
        <v>697</v>
      </c>
      <c r="T132" s="159" t="s">
        <v>945</v>
      </c>
      <c r="U132" s="159" t="s">
        <v>1241</v>
      </c>
      <c r="V132" s="159" t="s">
        <v>1157</v>
      </c>
      <c r="W132" s="159" t="s">
        <v>704</v>
      </c>
      <c r="X132" s="159" t="s">
        <v>61</v>
      </c>
      <c r="Y132" s="159" t="s">
        <v>705</v>
      </c>
      <c r="Z132" s="159" t="s">
        <v>706</v>
      </c>
      <c r="AA132" s="164">
        <v>76650</v>
      </c>
      <c r="AB132" s="164">
        <v>200000</v>
      </c>
      <c r="AC132" s="159" t="s">
        <v>716</v>
      </c>
      <c r="AD132" s="159" t="s">
        <v>716</v>
      </c>
      <c r="AE132" s="159" t="s">
        <v>716</v>
      </c>
      <c r="AF132" s="159" t="s">
        <v>716</v>
      </c>
      <c r="AG132" s="159" t="s">
        <v>716</v>
      </c>
      <c r="AH132" s="159" t="s">
        <v>716</v>
      </c>
      <c r="AI132" s="159" t="s">
        <v>716</v>
      </c>
      <c r="AJ132" s="159" t="s">
        <v>716</v>
      </c>
      <c r="AK132" s="159" t="s">
        <v>716</v>
      </c>
      <c r="AL132" s="159" t="s">
        <v>716</v>
      </c>
    </row>
    <row r="133" spans="1:38" x14ac:dyDescent="0.35">
      <c r="A133" s="175">
        <v>131</v>
      </c>
      <c r="B133" s="159" t="s">
        <v>1280</v>
      </c>
      <c r="C133" s="159" t="s">
        <v>1281</v>
      </c>
      <c r="D133" s="159" t="s">
        <v>1301</v>
      </c>
      <c r="E133" s="159" t="s">
        <v>697</v>
      </c>
      <c r="F133" s="159" t="s">
        <v>697</v>
      </c>
      <c r="G133" s="159" t="s">
        <v>697</v>
      </c>
      <c r="H133" s="159" t="s">
        <v>1283</v>
      </c>
      <c r="I133" s="159" t="s">
        <v>697</v>
      </c>
      <c r="J133" s="159" t="s">
        <v>697</v>
      </c>
      <c r="K133" s="159" t="s">
        <v>697</v>
      </c>
      <c r="L133" s="159" t="s">
        <v>148</v>
      </c>
      <c r="M133" s="159" t="s">
        <v>1302</v>
      </c>
      <c r="N133" s="160">
        <v>2</v>
      </c>
      <c r="O133" s="161">
        <v>31534</v>
      </c>
      <c r="P133" s="161">
        <v>30835</v>
      </c>
      <c r="Q133" s="159" t="s">
        <v>700</v>
      </c>
      <c r="R133" s="162" t="s">
        <v>697</v>
      </c>
      <c r="S133" s="159" t="s">
        <v>697</v>
      </c>
      <c r="T133" s="159" t="s">
        <v>945</v>
      </c>
      <c r="U133" s="159" t="s">
        <v>1241</v>
      </c>
      <c r="V133" s="159" t="s">
        <v>1157</v>
      </c>
      <c r="W133" s="159" t="s">
        <v>704</v>
      </c>
      <c r="X133" s="159" t="s">
        <v>61</v>
      </c>
      <c r="Y133" s="159" t="s">
        <v>705</v>
      </c>
      <c r="Z133" s="159" t="s">
        <v>706</v>
      </c>
      <c r="AA133" s="164">
        <v>76650</v>
      </c>
      <c r="AB133" s="164">
        <v>200000</v>
      </c>
      <c r="AC133" s="159" t="s">
        <v>716</v>
      </c>
      <c r="AD133" s="159" t="s">
        <v>716</v>
      </c>
      <c r="AE133" s="159" t="s">
        <v>716</v>
      </c>
      <c r="AF133" s="159" t="s">
        <v>716</v>
      </c>
      <c r="AG133" s="159" t="s">
        <v>716</v>
      </c>
      <c r="AH133" s="159" t="s">
        <v>716</v>
      </c>
      <c r="AI133" s="159" t="s">
        <v>716</v>
      </c>
      <c r="AJ133" s="159" t="s">
        <v>716</v>
      </c>
      <c r="AK133" s="159" t="s">
        <v>716</v>
      </c>
      <c r="AL133" s="159" t="s">
        <v>716</v>
      </c>
    </row>
    <row r="134" spans="1:38" x14ac:dyDescent="0.35">
      <c r="A134" s="175">
        <v>132</v>
      </c>
      <c r="B134" s="159" t="s">
        <v>1280</v>
      </c>
      <c r="C134" s="159" t="s">
        <v>1281</v>
      </c>
      <c r="D134" s="159" t="s">
        <v>1303</v>
      </c>
      <c r="E134" s="159" t="s">
        <v>697</v>
      </c>
      <c r="F134" s="159" t="s">
        <v>697</v>
      </c>
      <c r="G134" s="159" t="s">
        <v>697</v>
      </c>
      <c r="H134" s="159" t="s">
        <v>1283</v>
      </c>
      <c r="I134" s="159" t="s">
        <v>697</v>
      </c>
      <c r="J134" s="159" t="s">
        <v>697</v>
      </c>
      <c r="K134" s="159" t="s">
        <v>697</v>
      </c>
      <c r="L134" s="159" t="s">
        <v>148</v>
      </c>
      <c r="M134" s="159" t="s">
        <v>1304</v>
      </c>
      <c r="N134" s="160">
        <v>2</v>
      </c>
      <c r="O134" s="161">
        <v>31534</v>
      </c>
      <c r="P134" s="161">
        <v>30835</v>
      </c>
      <c r="Q134" s="159" t="s">
        <v>700</v>
      </c>
      <c r="R134" s="162" t="s">
        <v>697</v>
      </c>
      <c r="S134" s="159" t="s">
        <v>697</v>
      </c>
      <c r="T134" s="159" t="s">
        <v>945</v>
      </c>
      <c r="U134" s="159" t="s">
        <v>1241</v>
      </c>
      <c r="V134" s="159" t="s">
        <v>1157</v>
      </c>
      <c r="W134" s="159" t="s">
        <v>704</v>
      </c>
      <c r="X134" s="159" t="s">
        <v>61</v>
      </c>
      <c r="Y134" s="159" t="s">
        <v>705</v>
      </c>
      <c r="Z134" s="159" t="s">
        <v>706</v>
      </c>
      <c r="AA134" s="164">
        <v>76650</v>
      </c>
      <c r="AB134" s="164">
        <v>200000</v>
      </c>
      <c r="AC134" s="159" t="s">
        <v>716</v>
      </c>
      <c r="AD134" s="159" t="s">
        <v>716</v>
      </c>
      <c r="AE134" s="159" t="s">
        <v>716</v>
      </c>
      <c r="AF134" s="159" t="s">
        <v>716</v>
      </c>
      <c r="AG134" s="159" t="s">
        <v>716</v>
      </c>
      <c r="AH134" s="159" t="s">
        <v>716</v>
      </c>
      <c r="AI134" s="159" t="s">
        <v>716</v>
      </c>
      <c r="AJ134" s="159" t="s">
        <v>716</v>
      </c>
      <c r="AK134" s="159" t="s">
        <v>716</v>
      </c>
      <c r="AL134" s="159" t="s">
        <v>716</v>
      </c>
    </row>
    <row r="135" spans="1:38" x14ac:dyDescent="0.35">
      <c r="A135" s="175">
        <v>133</v>
      </c>
      <c r="B135" s="159" t="s">
        <v>1280</v>
      </c>
      <c r="C135" s="159" t="s">
        <v>1281</v>
      </c>
      <c r="D135" s="159" t="s">
        <v>1305</v>
      </c>
      <c r="E135" s="159" t="s">
        <v>697</v>
      </c>
      <c r="F135" s="159" t="s">
        <v>697</v>
      </c>
      <c r="G135" s="159" t="s">
        <v>697</v>
      </c>
      <c r="H135" s="159" t="s">
        <v>1283</v>
      </c>
      <c r="I135" s="159" t="s">
        <v>697</v>
      </c>
      <c r="J135" s="159" t="s">
        <v>697</v>
      </c>
      <c r="K135" s="159" t="s">
        <v>697</v>
      </c>
      <c r="L135" s="159" t="s">
        <v>148</v>
      </c>
      <c r="M135" s="159" t="s">
        <v>1306</v>
      </c>
      <c r="N135" s="160">
        <v>2</v>
      </c>
      <c r="O135" s="161">
        <v>31534</v>
      </c>
      <c r="P135" s="161">
        <v>30835</v>
      </c>
      <c r="Q135" s="159" t="s">
        <v>700</v>
      </c>
      <c r="R135" s="162" t="s">
        <v>697</v>
      </c>
      <c r="S135" s="159" t="s">
        <v>697</v>
      </c>
      <c r="T135" s="159" t="s">
        <v>945</v>
      </c>
      <c r="U135" s="159" t="s">
        <v>1241</v>
      </c>
      <c r="V135" s="159" t="s">
        <v>1157</v>
      </c>
      <c r="W135" s="159" t="s">
        <v>704</v>
      </c>
      <c r="X135" s="159" t="s">
        <v>61</v>
      </c>
      <c r="Y135" s="159" t="s">
        <v>705</v>
      </c>
      <c r="Z135" s="159" t="s">
        <v>706</v>
      </c>
      <c r="AA135" s="164">
        <v>76650</v>
      </c>
      <c r="AB135" s="164">
        <v>200000</v>
      </c>
      <c r="AC135" s="159" t="s">
        <v>716</v>
      </c>
      <c r="AD135" s="159" t="s">
        <v>716</v>
      </c>
      <c r="AE135" s="159" t="s">
        <v>716</v>
      </c>
      <c r="AF135" s="159" t="s">
        <v>716</v>
      </c>
      <c r="AG135" s="159" t="s">
        <v>716</v>
      </c>
      <c r="AH135" s="159" t="s">
        <v>716</v>
      </c>
      <c r="AI135" s="159" t="s">
        <v>716</v>
      </c>
      <c r="AJ135" s="159" t="s">
        <v>716</v>
      </c>
      <c r="AK135" s="159" t="s">
        <v>716</v>
      </c>
      <c r="AL135" s="159" t="s">
        <v>716</v>
      </c>
    </row>
    <row r="136" spans="1:38" x14ac:dyDescent="0.35">
      <c r="A136" s="175">
        <v>134</v>
      </c>
      <c r="B136" s="159" t="s">
        <v>1280</v>
      </c>
      <c r="C136" s="159" t="s">
        <v>1281</v>
      </c>
      <c r="D136" s="159" t="s">
        <v>1307</v>
      </c>
      <c r="E136" s="159" t="s">
        <v>697</v>
      </c>
      <c r="F136" s="159" t="s">
        <v>697</v>
      </c>
      <c r="G136" s="159" t="s">
        <v>697</v>
      </c>
      <c r="H136" s="159" t="s">
        <v>1283</v>
      </c>
      <c r="I136" s="159" t="s">
        <v>697</v>
      </c>
      <c r="J136" s="159" t="s">
        <v>697</v>
      </c>
      <c r="K136" s="159" t="s">
        <v>697</v>
      </c>
      <c r="L136" s="159" t="s">
        <v>148</v>
      </c>
      <c r="M136" s="159" t="s">
        <v>1308</v>
      </c>
      <c r="N136" s="160">
        <v>2</v>
      </c>
      <c r="O136" s="161">
        <v>31534</v>
      </c>
      <c r="P136" s="161">
        <v>30835</v>
      </c>
      <c r="Q136" s="159" t="s">
        <v>700</v>
      </c>
      <c r="R136" s="162" t="s">
        <v>697</v>
      </c>
      <c r="S136" s="159" t="s">
        <v>697</v>
      </c>
      <c r="T136" s="159" t="s">
        <v>945</v>
      </c>
      <c r="U136" s="159" t="s">
        <v>1241</v>
      </c>
      <c r="V136" s="159" t="s">
        <v>1157</v>
      </c>
      <c r="W136" s="159" t="s">
        <v>704</v>
      </c>
      <c r="X136" s="159" t="s">
        <v>61</v>
      </c>
      <c r="Y136" s="159" t="s">
        <v>705</v>
      </c>
      <c r="Z136" s="159" t="s">
        <v>706</v>
      </c>
      <c r="AA136" s="164">
        <v>76650</v>
      </c>
      <c r="AB136" s="164">
        <v>200000</v>
      </c>
      <c r="AC136" s="159" t="s">
        <v>716</v>
      </c>
      <c r="AD136" s="159" t="s">
        <v>716</v>
      </c>
      <c r="AE136" s="159" t="s">
        <v>716</v>
      </c>
      <c r="AF136" s="159" t="s">
        <v>716</v>
      </c>
      <c r="AG136" s="159" t="s">
        <v>716</v>
      </c>
      <c r="AH136" s="159" t="s">
        <v>716</v>
      </c>
      <c r="AI136" s="159" t="s">
        <v>716</v>
      </c>
      <c r="AJ136" s="159" t="s">
        <v>716</v>
      </c>
      <c r="AK136" s="159" t="s">
        <v>716</v>
      </c>
      <c r="AL136" s="159" t="s">
        <v>716</v>
      </c>
    </row>
    <row r="137" spans="1:38" x14ac:dyDescent="0.35">
      <c r="A137" s="175">
        <v>135</v>
      </c>
      <c r="B137" s="159" t="s">
        <v>1280</v>
      </c>
      <c r="C137" s="159" t="s">
        <v>1281</v>
      </c>
      <c r="D137" s="159" t="s">
        <v>1309</v>
      </c>
      <c r="E137" s="159" t="s">
        <v>697</v>
      </c>
      <c r="F137" s="159" t="s">
        <v>697</v>
      </c>
      <c r="G137" s="159" t="s">
        <v>697</v>
      </c>
      <c r="H137" s="159" t="s">
        <v>1283</v>
      </c>
      <c r="I137" s="159" t="s">
        <v>697</v>
      </c>
      <c r="J137" s="159" t="s">
        <v>697</v>
      </c>
      <c r="K137" s="159" t="s">
        <v>697</v>
      </c>
      <c r="L137" s="159" t="s">
        <v>148</v>
      </c>
      <c r="M137" s="159" t="s">
        <v>1310</v>
      </c>
      <c r="N137" s="160">
        <v>2</v>
      </c>
      <c r="O137" s="161">
        <v>31534</v>
      </c>
      <c r="P137" s="161">
        <v>30835</v>
      </c>
      <c r="Q137" s="159" t="s">
        <v>700</v>
      </c>
      <c r="R137" s="162" t="s">
        <v>697</v>
      </c>
      <c r="S137" s="159" t="s">
        <v>697</v>
      </c>
      <c r="T137" s="159" t="s">
        <v>945</v>
      </c>
      <c r="U137" s="159" t="s">
        <v>1241</v>
      </c>
      <c r="V137" s="159" t="s">
        <v>1157</v>
      </c>
      <c r="W137" s="159" t="s">
        <v>704</v>
      </c>
      <c r="X137" s="159" t="s">
        <v>61</v>
      </c>
      <c r="Y137" s="159" t="s">
        <v>705</v>
      </c>
      <c r="Z137" s="159" t="s">
        <v>706</v>
      </c>
      <c r="AA137" s="164">
        <v>107310</v>
      </c>
      <c r="AB137" s="164">
        <v>200000</v>
      </c>
      <c r="AC137" s="159" t="s">
        <v>716</v>
      </c>
      <c r="AD137" s="159" t="s">
        <v>716</v>
      </c>
      <c r="AE137" s="159" t="s">
        <v>716</v>
      </c>
      <c r="AF137" s="159" t="s">
        <v>716</v>
      </c>
      <c r="AG137" s="159" t="s">
        <v>716</v>
      </c>
      <c r="AH137" s="159" t="s">
        <v>716</v>
      </c>
      <c r="AI137" s="159" t="s">
        <v>716</v>
      </c>
      <c r="AJ137" s="159" t="s">
        <v>716</v>
      </c>
      <c r="AK137" s="159" t="s">
        <v>716</v>
      </c>
      <c r="AL137" s="159" t="s">
        <v>716</v>
      </c>
    </row>
    <row r="138" spans="1:38" x14ac:dyDescent="0.35">
      <c r="A138" s="175">
        <v>136</v>
      </c>
      <c r="B138" s="159" t="s">
        <v>1280</v>
      </c>
      <c r="C138" s="159" t="s">
        <v>1281</v>
      </c>
      <c r="D138" s="159" t="s">
        <v>1311</v>
      </c>
      <c r="E138" s="159" t="s">
        <v>697</v>
      </c>
      <c r="F138" s="159" t="s">
        <v>697</v>
      </c>
      <c r="G138" s="159" t="s">
        <v>697</v>
      </c>
      <c r="H138" s="159" t="s">
        <v>1283</v>
      </c>
      <c r="I138" s="159" t="s">
        <v>697</v>
      </c>
      <c r="J138" s="159" t="s">
        <v>697</v>
      </c>
      <c r="K138" s="159" t="s">
        <v>697</v>
      </c>
      <c r="L138" s="159" t="s">
        <v>148</v>
      </c>
      <c r="M138" s="159" t="s">
        <v>1312</v>
      </c>
      <c r="N138" s="160">
        <v>2</v>
      </c>
      <c r="O138" s="161">
        <v>31534</v>
      </c>
      <c r="P138" s="161">
        <v>30835</v>
      </c>
      <c r="Q138" s="159" t="s">
        <v>700</v>
      </c>
      <c r="R138" s="162" t="s">
        <v>697</v>
      </c>
      <c r="S138" s="159" t="s">
        <v>697</v>
      </c>
      <c r="T138" s="159" t="s">
        <v>945</v>
      </c>
      <c r="U138" s="159" t="s">
        <v>1241</v>
      </c>
      <c r="V138" s="159" t="s">
        <v>1157</v>
      </c>
      <c r="W138" s="159" t="s">
        <v>704</v>
      </c>
      <c r="X138" s="159" t="s">
        <v>61</v>
      </c>
      <c r="Y138" s="159" t="s">
        <v>705</v>
      </c>
      <c r="Z138" s="159" t="s">
        <v>706</v>
      </c>
      <c r="AA138" s="164">
        <v>76650</v>
      </c>
      <c r="AB138" s="164">
        <v>200000</v>
      </c>
      <c r="AC138" s="159" t="s">
        <v>716</v>
      </c>
      <c r="AD138" s="159" t="s">
        <v>716</v>
      </c>
      <c r="AE138" s="159" t="s">
        <v>716</v>
      </c>
      <c r="AF138" s="159" t="s">
        <v>716</v>
      </c>
      <c r="AG138" s="159" t="s">
        <v>716</v>
      </c>
      <c r="AH138" s="159" t="s">
        <v>716</v>
      </c>
      <c r="AI138" s="159" t="s">
        <v>716</v>
      </c>
      <c r="AJ138" s="159" t="s">
        <v>716</v>
      </c>
      <c r="AK138" s="159" t="s">
        <v>716</v>
      </c>
      <c r="AL138" s="159" t="s">
        <v>716</v>
      </c>
    </row>
    <row r="139" spans="1:38" x14ac:dyDescent="0.35">
      <c r="A139" s="175">
        <v>137</v>
      </c>
      <c r="B139" s="159" t="s">
        <v>1280</v>
      </c>
      <c r="C139" s="159" t="s">
        <v>1281</v>
      </c>
      <c r="D139" s="159" t="s">
        <v>1313</v>
      </c>
      <c r="E139" s="159" t="s">
        <v>697</v>
      </c>
      <c r="F139" s="159" t="s">
        <v>697</v>
      </c>
      <c r="G139" s="159" t="s">
        <v>697</v>
      </c>
      <c r="H139" s="159" t="s">
        <v>1283</v>
      </c>
      <c r="I139" s="159" t="s">
        <v>697</v>
      </c>
      <c r="J139" s="159" t="s">
        <v>697</v>
      </c>
      <c r="K139" s="159" t="s">
        <v>697</v>
      </c>
      <c r="L139" s="159" t="s">
        <v>148</v>
      </c>
      <c r="M139" s="159" t="s">
        <v>1314</v>
      </c>
      <c r="N139" s="160">
        <v>2</v>
      </c>
      <c r="O139" s="161">
        <v>31534</v>
      </c>
      <c r="P139" s="161">
        <v>30835</v>
      </c>
      <c r="Q139" s="159" t="s">
        <v>700</v>
      </c>
      <c r="R139" s="162" t="s">
        <v>697</v>
      </c>
      <c r="S139" s="159" t="s">
        <v>697</v>
      </c>
      <c r="T139" s="159" t="s">
        <v>945</v>
      </c>
      <c r="U139" s="159" t="s">
        <v>1241</v>
      </c>
      <c r="V139" s="159" t="s">
        <v>1157</v>
      </c>
      <c r="W139" s="159" t="s">
        <v>704</v>
      </c>
      <c r="X139" s="159" t="s">
        <v>61</v>
      </c>
      <c r="Y139" s="159" t="s">
        <v>705</v>
      </c>
      <c r="Z139" s="159" t="s">
        <v>706</v>
      </c>
      <c r="AA139" s="164">
        <v>76650</v>
      </c>
      <c r="AB139" s="164">
        <v>200000</v>
      </c>
      <c r="AC139" s="159" t="s">
        <v>716</v>
      </c>
      <c r="AD139" s="159" t="s">
        <v>716</v>
      </c>
      <c r="AE139" s="159" t="s">
        <v>716</v>
      </c>
      <c r="AF139" s="159" t="s">
        <v>716</v>
      </c>
      <c r="AG139" s="159" t="s">
        <v>716</v>
      </c>
      <c r="AH139" s="159" t="s">
        <v>716</v>
      </c>
      <c r="AI139" s="159" t="s">
        <v>716</v>
      </c>
      <c r="AJ139" s="159" t="s">
        <v>716</v>
      </c>
      <c r="AK139" s="159" t="s">
        <v>716</v>
      </c>
      <c r="AL139" s="159" t="s">
        <v>716</v>
      </c>
    </row>
    <row r="140" spans="1:38" x14ac:dyDescent="0.35">
      <c r="A140" s="175">
        <v>138</v>
      </c>
      <c r="B140" s="159" t="s">
        <v>1280</v>
      </c>
      <c r="C140" s="159" t="s">
        <v>1281</v>
      </c>
      <c r="D140" s="159" t="s">
        <v>1315</v>
      </c>
      <c r="E140" s="159" t="s">
        <v>697</v>
      </c>
      <c r="F140" s="159" t="s">
        <v>697</v>
      </c>
      <c r="G140" s="159" t="s">
        <v>697</v>
      </c>
      <c r="H140" s="159" t="s">
        <v>1283</v>
      </c>
      <c r="I140" s="159" t="s">
        <v>697</v>
      </c>
      <c r="J140" s="159" t="s">
        <v>697</v>
      </c>
      <c r="K140" s="159" t="s">
        <v>697</v>
      </c>
      <c r="L140" s="159" t="s">
        <v>148</v>
      </c>
      <c r="M140" s="159" t="s">
        <v>1316</v>
      </c>
      <c r="N140" s="160">
        <v>2</v>
      </c>
      <c r="O140" s="161">
        <v>31534</v>
      </c>
      <c r="P140" s="161">
        <v>30835</v>
      </c>
      <c r="Q140" s="159" t="s">
        <v>700</v>
      </c>
      <c r="R140" s="162" t="s">
        <v>697</v>
      </c>
      <c r="S140" s="159" t="s">
        <v>697</v>
      </c>
      <c r="T140" s="159" t="s">
        <v>945</v>
      </c>
      <c r="U140" s="159" t="s">
        <v>1241</v>
      </c>
      <c r="V140" s="159" t="s">
        <v>1157</v>
      </c>
      <c r="W140" s="159" t="s">
        <v>704</v>
      </c>
      <c r="X140" s="159" t="s">
        <v>61</v>
      </c>
      <c r="Y140" s="159" t="s">
        <v>705</v>
      </c>
      <c r="Z140" s="159" t="s">
        <v>706</v>
      </c>
      <c r="AA140" s="164">
        <v>76650</v>
      </c>
      <c r="AB140" s="164">
        <v>200000</v>
      </c>
      <c r="AC140" s="159" t="s">
        <v>716</v>
      </c>
      <c r="AD140" s="159" t="s">
        <v>716</v>
      </c>
      <c r="AE140" s="159" t="s">
        <v>716</v>
      </c>
      <c r="AF140" s="159" t="s">
        <v>716</v>
      </c>
      <c r="AG140" s="159" t="s">
        <v>716</v>
      </c>
      <c r="AH140" s="159" t="s">
        <v>716</v>
      </c>
      <c r="AI140" s="159" t="s">
        <v>716</v>
      </c>
      <c r="AJ140" s="159" t="s">
        <v>716</v>
      </c>
      <c r="AK140" s="159" t="s">
        <v>716</v>
      </c>
      <c r="AL140" s="159" t="s">
        <v>716</v>
      </c>
    </row>
    <row r="141" spans="1:38" x14ac:dyDescent="0.35">
      <c r="A141" s="175">
        <v>139</v>
      </c>
      <c r="B141" s="159" t="s">
        <v>1280</v>
      </c>
      <c r="C141" s="159" t="s">
        <v>1281</v>
      </c>
      <c r="D141" s="159" t="s">
        <v>1317</v>
      </c>
      <c r="E141" s="159" t="s">
        <v>697</v>
      </c>
      <c r="F141" s="159" t="s">
        <v>697</v>
      </c>
      <c r="G141" s="159" t="s">
        <v>697</v>
      </c>
      <c r="H141" s="159" t="s">
        <v>1283</v>
      </c>
      <c r="I141" s="159" t="s">
        <v>697</v>
      </c>
      <c r="J141" s="159" t="s">
        <v>697</v>
      </c>
      <c r="K141" s="159" t="s">
        <v>697</v>
      </c>
      <c r="L141" s="159" t="s">
        <v>148</v>
      </c>
      <c r="M141" s="159" t="s">
        <v>1318</v>
      </c>
      <c r="N141" s="160">
        <v>2</v>
      </c>
      <c r="O141" s="161">
        <v>31534</v>
      </c>
      <c r="P141" s="161">
        <v>30835</v>
      </c>
      <c r="Q141" s="159" t="s">
        <v>700</v>
      </c>
      <c r="R141" s="162" t="s">
        <v>697</v>
      </c>
      <c r="S141" s="159" t="s">
        <v>697</v>
      </c>
      <c r="T141" s="159" t="s">
        <v>945</v>
      </c>
      <c r="U141" s="159" t="s">
        <v>1241</v>
      </c>
      <c r="V141" s="159" t="s">
        <v>1157</v>
      </c>
      <c r="W141" s="159" t="s">
        <v>704</v>
      </c>
      <c r="X141" s="159" t="s">
        <v>61</v>
      </c>
      <c r="Y141" s="159" t="s">
        <v>705</v>
      </c>
      <c r="Z141" s="159" t="s">
        <v>706</v>
      </c>
      <c r="AA141" s="164">
        <v>76650</v>
      </c>
      <c r="AB141" s="164">
        <v>200000</v>
      </c>
      <c r="AC141" s="159" t="s">
        <v>716</v>
      </c>
      <c r="AD141" s="159" t="s">
        <v>716</v>
      </c>
      <c r="AE141" s="159" t="s">
        <v>716</v>
      </c>
      <c r="AF141" s="159" t="s">
        <v>716</v>
      </c>
      <c r="AG141" s="159" t="s">
        <v>716</v>
      </c>
      <c r="AH141" s="159" t="s">
        <v>716</v>
      </c>
      <c r="AI141" s="159" t="s">
        <v>716</v>
      </c>
      <c r="AJ141" s="159" t="s">
        <v>716</v>
      </c>
      <c r="AK141" s="159" t="s">
        <v>716</v>
      </c>
      <c r="AL141" s="159" t="s">
        <v>716</v>
      </c>
    </row>
    <row r="142" spans="1:38" x14ac:dyDescent="0.35">
      <c r="A142" s="175">
        <v>140</v>
      </c>
      <c r="B142" s="159" t="s">
        <v>1280</v>
      </c>
      <c r="C142" s="159" t="s">
        <v>1281</v>
      </c>
      <c r="D142" s="159" t="s">
        <v>1317</v>
      </c>
      <c r="E142" s="159" t="s">
        <v>697</v>
      </c>
      <c r="F142" s="159" t="s">
        <v>697</v>
      </c>
      <c r="G142" s="159" t="s">
        <v>697</v>
      </c>
      <c r="H142" s="159" t="s">
        <v>1283</v>
      </c>
      <c r="I142" s="159" t="s">
        <v>697</v>
      </c>
      <c r="J142" s="159" t="s">
        <v>697</v>
      </c>
      <c r="K142" s="159" t="s">
        <v>697</v>
      </c>
      <c r="L142" s="159" t="s">
        <v>148</v>
      </c>
      <c r="M142" s="159" t="s">
        <v>1319</v>
      </c>
      <c r="N142" s="160">
        <v>2</v>
      </c>
      <c r="O142" s="161">
        <v>31534</v>
      </c>
      <c r="P142" s="161">
        <v>30835</v>
      </c>
      <c r="Q142" s="159" t="s">
        <v>700</v>
      </c>
      <c r="R142" s="162" t="s">
        <v>697</v>
      </c>
      <c r="S142" s="159" t="s">
        <v>697</v>
      </c>
      <c r="T142" s="159" t="s">
        <v>945</v>
      </c>
      <c r="U142" s="159" t="s">
        <v>1241</v>
      </c>
      <c r="V142" s="159" t="s">
        <v>1157</v>
      </c>
      <c r="W142" s="159" t="s">
        <v>704</v>
      </c>
      <c r="X142" s="159" t="s">
        <v>61</v>
      </c>
      <c r="Y142" s="159" t="s">
        <v>705</v>
      </c>
      <c r="Z142" s="159" t="s">
        <v>706</v>
      </c>
      <c r="AA142" s="164">
        <v>76650</v>
      </c>
      <c r="AB142" s="164">
        <v>200000</v>
      </c>
      <c r="AC142" s="159" t="s">
        <v>716</v>
      </c>
      <c r="AD142" s="159" t="s">
        <v>716</v>
      </c>
      <c r="AE142" s="159" t="s">
        <v>716</v>
      </c>
      <c r="AF142" s="159" t="s">
        <v>716</v>
      </c>
      <c r="AG142" s="159" t="s">
        <v>716</v>
      </c>
      <c r="AH142" s="159" t="s">
        <v>716</v>
      </c>
      <c r="AI142" s="159" t="s">
        <v>716</v>
      </c>
      <c r="AJ142" s="159" t="s">
        <v>716</v>
      </c>
      <c r="AK142" s="159" t="s">
        <v>716</v>
      </c>
      <c r="AL142" s="159" t="s">
        <v>716</v>
      </c>
    </row>
    <row r="143" spans="1:38" x14ac:dyDescent="0.35">
      <c r="A143" s="175">
        <v>141</v>
      </c>
      <c r="B143" s="159" t="s">
        <v>1280</v>
      </c>
      <c r="C143" s="159" t="s">
        <v>1281</v>
      </c>
      <c r="D143" s="159" t="s">
        <v>1320</v>
      </c>
      <c r="E143" s="159" t="s">
        <v>697</v>
      </c>
      <c r="F143" s="159" t="s">
        <v>697</v>
      </c>
      <c r="G143" s="159" t="s">
        <v>697</v>
      </c>
      <c r="H143" s="159" t="s">
        <v>1283</v>
      </c>
      <c r="I143" s="159" t="s">
        <v>697</v>
      </c>
      <c r="J143" s="159" t="s">
        <v>697</v>
      </c>
      <c r="K143" s="159" t="s">
        <v>697</v>
      </c>
      <c r="L143" s="159" t="s">
        <v>148</v>
      </c>
      <c r="M143" s="159" t="s">
        <v>1321</v>
      </c>
      <c r="N143" s="160">
        <v>2</v>
      </c>
      <c r="O143" s="161">
        <v>31534</v>
      </c>
      <c r="P143" s="161">
        <v>30835</v>
      </c>
      <c r="Q143" s="159" t="s">
        <v>700</v>
      </c>
      <c r="R143" s="162" t="s">
        <v>697</v>
      </c>
      <c r="S143" s="159" t="s">
        <v>697</v>
      </c>
      <c r="T143" s="159" t="s">
        <v>945</v>
      </c>
      <c r="U143" s="159" t="s">
        <v>1241</v>
      </c>
      <c r="V143" s="159" t="s">
        <v>1157</v>
      </c>
      <c r="W143" s="159" t="s">
        <v>704</v>
      </c>
      <c r="X143" s="159" t="s">
        <v>61</v>
      </c>
      <c r="Y143" s="159" t="s">
        <v>705</v>
      </c>
      <c r="Z143" s="159" t="s">
        <v>706</v>
      </c>
      <c r="AA143" s="164">
        <v>76650</v>
      </c>
      <c r="AB143" s="164">
        <v>200000</v>
      </c>
      <c r="AC143" s="159" t="s">
        <v>716</v>
      </c>
      <c r="AD143" s="159" t="s">
        <v>716</v>
      </c>
      <c r="AE143" s="159" t="s">
        <v>716</v>
      </c>
      <c r="AF143" s="159" t="s">
        <v>716</v>
      </c>
      <c r="AG143" s="159" t="s">
        <v>716</v>
      </c>
      <c r="AH143" s="159" t="s">
        <v>716</v>
      </c>
      <c r="AI143" s="159" t="s">
        <v>716</v>
      </c>
      <c r="AJ143" s="159" t="s">
        <v>716</v>
      </c>
      <c r="AK143" s="159" t="s">
        <v>716</v>
      </c>
      <c r="AL143" s="159" t="s">
        <v>716</v>
      </c>
    </row>
    <row r="144" spans="1:38" x14ac:dyDescent="0.35">
      <c r="A144" s="175">
        <v>142</v>
      </c>
      <c r="B144" s="159" t="s">
        <v>1280</v>
      </c>
      <c r="C144" s="159" t="s">
        <v>1281</v>
      </c>
      <c r="D144" s="159" t="s">
        <v>1322</v>
      </c>
      <c r="E144" s="159" t="s">
        <v>697</v>
      </c>
      <c r="F144" s="159" t="s">
        <v>697</v>
      </c>
      <c r="G144" s="159" t="s">
        <v>697</v>
      </c>
      <c r="H144" s="159" t="s">
        <v>1283</v>
      </c>
      <c r="I144" s="159" t="s">
        <v>697</v>
      </c>
      <c r="J144" s="159" t="s">
        <v>697</v>
      </c>
      <c r="K144" s="159" t="s">
        <v>697</v>
      </c>
      <c r="L144" s="159" t="s">
        <v>148</v>
      </c>
      <c r="M144" s="159" t="s">
        <v>1323</v>
      </c>
      <c r="N144" s="160">
        <v>2</v>
      </c>
      <c r="O144" s="161">
        <v>31534</v>
      </c>
      <c r="P144" s="161">
        <v>30835</v>
      </c>
      <c r="Q144" s="159" t="s">
        <v>700</v>
      </c>
      <c r="R144" s="162" t="s">
        <v>697</v>
      </c>
      <c r="S144" s="159" t="s">
        <v>697</v>
      </c>
      <c r="T144" s="159" t="s">
        <v>945</v>
      </c>
      <c r="U144" s="159" t="s">
        <v>1241</v>
      </c>
      <c r="V144" s="159" t="s">
        <v>1157</v>
      </c>
      <c r="W144" s="159" t="s">
        <v>704</v>
      </c>
      <c r="X144" s="159" t="s">
        <v>61</v>
      </c>
      <c r="Y144" s="159" t="s">
        <v>705</v>
      </c>
      <c r="Z144" s="159" t="s">
        <v>706</v>
      </c>
      <c r="AA144" s="164">
        <v>76650</v>
      </c>
      <c r="AB144" s="164">
        <v>200000</v>
      </c>
      <c r="AC144" s="159" t="s">
        <v>716</v>
      </c>
      <c r="AD144" s="159" t="s">
        <v>716</v>
      </c>
      <c r="AE144" s="159" t="s">
        <v>716</v>
      </c>
      <c r="AF144" s="159" t="s">
        <v>716</v>
      </c>
      <c r="AG144" s="159" t="s">
        <v>716</v>
      </c>
      <c r="AH144" s="159" t="s">
        <v>716</v>
      </c>
      <c r="AI144" s="159" t="s">
        <v>716</v>
      </c>
      <c r="AJ144" s="159" t="s">
        <v>716</v>
      </c>
      <c r="AK144" s="159" t="s">
        <v>716</v>
      </c>
      <c r="AL144" s="159" t="s">
        <v>716</v>
      </c>
    </row>
    <row r="145" spans="1:38" x14ac:dyDescent="0.35">
      <c r="A145" s="175">
        <v>143</v>
      </c>
      <c r="B145" s="159" t="s">
        <v>1280</v>
      </c>
      <c r="C145" s="159" t="s">
        <v>1281</v>
      </c>
      <c r="D145" s="159" t="s">
        <v>1324</v>
      </c>
      <c r="E145" s="159" t="s">
        <v>697</v>
      </c>
      <c r="F145" s="159" t="s">
        <v>697</v>
      </c>
      <c r="G145" s="159" t="s">
        <v>697</v>
      </c>
      <c r="H145" s="159" t="s">
        <v>1283</v>
      </c>
      <c r="I145" s="159" t="s">
        <v>697</v>
      </c>
      <c r="J145" s="159" t="s">
        <v>697</v>
      </c>
      <c r="K145" s="159" t="s">
        <v>697</v>
      </c>
      <c r="L145" s="159" t="s">
        <v>148</v>
      </c>
      <c r="M145" s="159" t="s">
        <v>1325</v>
      </c>
      <c r="N145" s="160">
        <v>2</v>
      </c>
      <c r="O145" s="161">
        <v>31534</v>
      </c>
      <c r="P145" s="161">
        <v>30835</v>
      </c>
      <c r="Q145" s="159" t="s">
        <v>700</v>
      </c>
      <c r="R145" s="162" t="s">
        <v>697</v>
      </c>
      <c r="S145" s="159" t="s">
        <v>697</v>
      </c>
      <c r="T145" s="159" t="s">
        <v>945</v>
      </c>
      <c r="U145" s="159" t="s">
        <v>1241</v>
      </c>
      <c r="V145" s="159" t="s">
        <v>1157</v>
      </c>
      <c r="W145" s="159" t="s">
        <v>704</v>
      </c>
      <c r="X145" s="159" t="s">
        <v>61</v>
      </c>
      <c r="Y145" s="159" t="s">
        <v>705</v>
      </c>
      <c r="Z145" s="159" t="s">
        <v>706</v>
      </c>
      <c r="AA145" s="164">
        <v>76650</v>
      </c>
      <c r="AB145" s="164">
        <v>200000</v>
      </c>
      <c r="AC145" s="159" t="s">
        <v>716</v>
      </c>
      <c r="AD145" s="159" t="s">
        <v>716</v>
      </c>
      <c r="AE145" s="159" t="s">
        <v>716</v>
      </c>
      <c r="AF145" s="159" t="s">
        <v>716</v>
      </c>
      <c r="AG145" s="159" t="s">
        <v>716</v>
      </c>
      <c r="AH145" s="159" t="s">
        <v>716</v>
      </c>
      <c r="AI145" s="159" t="s">
        <v>716</v>
      </c>
      <c r="AJ145" s="159" t="s">
        <v>716</v>
      </c>
      <c r="AK145" s="159" t="s">
        <v>716</v>
      </c>
      <c r="AL145" s="159" t="s">
        <v>716</v>
      </c>
    </row>
    <row r="146" spans="1:38" x14ac:dyDescent="0.35">
      <c r="A146" s="175">
        <v>144</v>
      </c>
      <c r="B146" s="159" t="s">
        <v>1280</v>
      </c>
      <c r="C146" s="159" t="s">
        <v>1281</v>
      </c>
      <c r="D146" s="159" t="s">
        <v>1326</v>
      </c>
      <c r="E146" s="159" t="s">
        <v>697</v>
      </c>
      <c r="F146" s="159" t="s">
        <v>697</v>
      </c>
      <c r="G146" s="159" t="s">
        <v>697</v>
      </c>
      <c r="H146" s="159" t="s">
        <v>1283</v>
      </c>
      <c r="I146" s="159" t="s">
        <v>697</v>
      </c>
      <c r="J146" s="159" t="s">
        <v>697</v>
      </c>
      <c r="K146" s="159" t="s">
        <v>697</v>
      </c>
      <c r="L146" s="159" t="s">
        <v>148</v>
      </c>
      <c r="M146" s="159" t="s">
        <v>1327</v>
      </c>
      <c r="N146" s="160">
        <v>2</v>
      </c>
      <c r="O146" s="161">
        <v>31534</v>
      </c>
      <c r="P146" s="161">
        <v>30835</v>
      </c>
      <c r="Q146" s="159" t="s">
        <v>700</v>
      </c>
      <c r="R146" s="162" t="s">
        <v>697</v>
      </c>
      <c r="S146" s="159" t="s">
        <v>697</v>
      </c>
      <c r="T146" s="159" t="s">
        <v>945</v>
      </c>
      <c r="U146" s="159" t="s">
        <v>1241</v>
      </c>
      <c r="V146" s="159" t="s">
        <v>1157</v>
      </c>
      <c r="W146" s="159" t="s">
        <v>704</v>
      </c>
      <c r="X146" s="159" t="s">
        <v>61</v>
      </c>
      <c r="Y146" s="159" t="s">
        <v>705</v>
      </c>
      <c r="Z146" s="159" t="s">
        <v>706</v>
      </c>
      <c r="AA146" s="164">
        <v>95812.5</v>
      </c>
      <c r="AB146" s="164">
        <v>200000</v>
      </c>
      <c r="AC146" s="159" t="s">
        <v>716</v>
      </c>
      <c r="AD146" s="159" t="s">
        <v>716</v>
      </c>
      <c r="AE146" s="159" t="s">
        <v>716</v>
      </c>
      <c r="AF146" s="159" t="s">
        <v>716</v>
      </c>
      <c r="AG146" s="159" t="s">
        <v>716</v>
      </c>
      <c r="AH146" s="159" t="s">
        <v>716</v>
      </c>
      <c r="AI146" s="159" t="s">
        <v>716</v>
      </c>
      <c r="AJ146" s="159" t="s">
        <v>716</v>
      </c>
      <c r="AK146" s="159" t="s">
        <v>716</v>
      </c>
      <c r="AL146" s="159" t="s">
        <v>716</v>
      </c>
    </row>
    <row r="147" spans="1:38" x14ac:dyDescent="0.35">
      <c r="A147" s="175">
        <v>145</v>
      </c>
      <c r="B147" s="159" t="s">
        <v>1280</v>
      </c>
      <c r="C147" s="159" t="s">
        <v>1281</v>
      </c>
      <c r="D147" s="159" t="s">
        <v>1328</v>
      </c>
      <c r="E147" s="159" t="s">
        <v>697</v>
      </c>
      <c r="F147" s="159" t="s">
        <v>697</v>
      </c>
      <c r="G147" s="159" t="s">
        <v>697</v>
      </c>
      <c r="H147" s="159" t="s">
        <v>1283</v>
      </c>
      <c r="I147" s="159" t="s">
        <v>697</v>
      </c>
      <c r="J147" s="159" t="s">
        <v>697</v>
      </c>
      <c r="K147" s="159" t="s">
        <v>697</v>
      </c>
      <c r="L147" s="159" t="s">
        <v>148</v>
      </c>
      <c r="M147" s="159" t="s">
        <v>1329</v>
      </c>
      <c r="N147" s="160">
        <v>2</v>
      </c>
      <c r="O147" s="161">
        <v>31534</v>
      </c>
      <c r="P147" s="161">
        <v>30835</v>
      </c>
      <c r="Q147" s="159" t="s">
        <v>700</v>
      </c>
      <c r="R147" s="162" t="s">
        <v>697</v>
      </c>
      <c r="S147" s="159" t="s">
        <v>697</v>
      </c>
      <c r="T147" s="159" t="s">
        <v>945</v>
      </c>
      <c r="U147" s="159" t="s">
        <v>1241</v>
      </c>
      <c r="V147" s="159" t="s">
        <v>1157</v>
      </c>
      <c r="W147" s="159" t="s">
        <v>704</v>
      </c>
      <c r="X147" s="159" t="s">
        <v>61</v>
      </c>
      <c r="Y147" s="159" t="s">
        <v>705</v>
      </c>
      <c r="Z147" s="159" t="s">
        <v>706</v>
      </c>
      <c r="AA147" s="164">
        <v>76650</v>
      </c>
      <c r="AB147" s="164">
        <v>200000</v>
      </c>
      <c r="AC147" s="159" t="s">
        <v>716</v>
      </c>
      <c r="AD147" s="159" t="s">
        <v>716</v>
      </c>
      <c r="AE147" s="159" t="s">
        <v>716</v>
      </c>
      <c r="AF147" s="159" t="s">
        <v>716</v>
      </c>
      <c r="AG147" s="159" t="s">
        <v>716</v>
      </c>
      <c r="AH147" s="159" t="s">
        <v>716</v>
      </c>
      <c r="AI147" s="159" t="s">
        <v>716</v>
      </c>
      <c r="AJ147" s="159" t="s">
        <v>716</v>
      </c>
      <c r="AK147" s="159" t="s">
        <v>716</v>
      </c>
      <c r="AL147" s="159" t="s">
        <v>716</v>
      </c>
    </row>
    <row r="148" spans="1:38" x14ac:dyDescent="0.35">
      <c r="A148" s="175">
        <v>146</v>
      </c>
      <c r="B148" s="159" t="s">
        <v>1280</v>
      </c>
      <c r="C148" s="159" t="s">
        <v>1281</v>
      </c>
      <c r="D148" s="159" t="s">
        <v>1330</v>
      </c>
      <c r="E148" s="159" t="s">
        <v>697</v>
      </c>
      <c r="F148" s="159" t="s">
        <v>697</v>
      </c>
      <c r="G148" s="159" t="s">
        <v>697</v>
      </c>
      <c r="H148" s="159" t="s">
        <v>1283</v>
      </c>
      <c r="I148" s="159" t="s">
        <v>697</v>
      </c>
      <c r="J148" s="159" t="s">
        <v>697</v>
      </c>
      <c r="K148" s="159" t="s">
        <v>697</v>
      </c>
      <c r="L148" s="159" t="s">
        <v>148</v>
      </c>
      <c r="M148" s="159" t="s">
        <v>1331</v>
      </c>
      <c r="N148" s="160">
        <v>2</v>
      </c>
      <c r="O148" s="161">
        <v>31534</v>
      </c>
      <c r="P148" s="161">
        <v>30835</v>
      </c>
      <c r="Q148" s="159" t="s">
        <v>700</v>
      </c>
      <c r="R148" s="162" t="s">
        <v>697</v>
      </c>
      <c r="S148" s="159" t="s">
        <v>697</v>
      </c>
      <c r="T148" s="159" t="s">
        <v>945</v>
      </c>
      <c r="U148" s="159" t="s">
        <v>1241</v>
      </c>
      <c r="V148" s="159" t="s">
        <v>1157</v>
      </c>
      <c r="W148" s="159" t="s">
        <v>704</v>
      </c>
      <c r="X148" s="159" t="s">
        <v>61</v>
      </c>
      <c r="Y148" s="159" t="s">
        <v>705</v>
      </c>
      <c r="Z148" s="159" t="s">
        <v>706</v>
      </c>
      <c r="AA148" s="164">
        <v>111142.5</v>
      </c>
      <c r="AB148" s="164">
        <v>200000</v>
      </c>
      <c r="AC148" s="159" t="s">
        <v>716</v>
      </c>
      <c r="AD148" s="159" t="s">
        <v>716</v>
      </c>
      <c r="AE148" s="159" t="s">
        <v>716</v>
      </c>
      <c r="AF148" s="159" t="s">
        <v>716</v>
      </c>
      <c r="AG148" s="159" t="s">
        <v>716</v>
      </c>
      <c r="AH148" s="159" t="s">
        <v>716</v>
      </c>
      <c r="AI148" s="159" t="s">
        <v>716</v>
      </c>
      <c r="AJ148" s="159" t="s">
        <v>716</v>
      </c>
      <c r="AK148" s="159" t="s">
        <v>716</v>
      </c>
      <c r="AL148" s="159" t="s">
        <v>716</v>
      </c>
    </row>
    <row r="149" spans="1:38" x14ac:dyDescent="0.35">
      <c r="A149" s="175">
        <v>147</v>
      </c>
      <c r="B149" s="159" t="s">
        <v>1280</v>
      </c>
      <c r="C149" s="159" t="s">
        <v>1281</v>
      </c>
      <c r="D149" s="159" t="s">
        <v>1332</v>
      </c>
      <c r="E149" s="159" t="s">
        <v>697</v>
      </c>
      <c r="F149" s="159" t="s">
        <v>697</v>
      </c>
      <c r="G149" s="159" t="s">
        <v>697</v>
      </c>
      <c r="H149" s="159" t="s">
        <v>1283</v>
      </c>
      <c r="I149" s="159" t="s">
        <v>697</v>
      </c>
      <c r="J149" s="159" t="s">
        <v>697</v>
      </c>
      <c r="K149" s="159" t="s">
        <v>697</v>
      </c>
      <c r="L149" s="159" t="s">
        <v>148</v>
      </c>
      <c r="M149" s="159" t="s">
        <v>1333</v>
      </c>
      <c r="N149" s="160">
        <v>2</v>
      </c>
      <c r="O149" s="161">
        <v>31534</v>
      </c>
      <c r="P149" s="161">
        <v>30835</v>
      </c>
      <c r="Q149" s="159" t="s">
        <v>700</v>
      </c>
      <c r="R149" s="162" t="s">
        <v>697</v>
      </c>
      <c r="S149" s="159" t="s">
        <v>697</v>
      </c>
      <c r="T149" s="159" t="s">
        <v>945</v>
      </c>
      <c r="U149" s="159" t="s">
        <v>1241</v>
      </c>
      <c r="V149" s="159" t="s">
        <v>1157</v>
      </c>
      <c r="W149" s="159" t="s">
        <v>704</v>
      </c>
      <c r="X149" s="159" t="s">
        <v>61</v>
      </c>
      <c r="Y149" s="159" t="s">
        <v>705</v>
      </c>
      <c r="Z149" s="159" t="s">
        <v>706</v>
      </c>
      <c r="AA149" s="164">
        <v>122640</v>
      </c>
      <c r="AB149" s="164">
        <v>200000</v>
      </c>
      <c r="AC149" s="159" t="s">
        <v>716</v>
      </c>
      <c r="AD149" s="159" t="s">
        <v>716</v>
      </c>
      <c r="AE149" s="159" t="s">
        <v>716</v>
      </c>
      <c r="AF149" s="159" t="s">
        <v>716</v>
      </c>
      <c r="AG149" s="159" t="s">
        <v>716</v>
      </c>
      <c r="AH149" s="159" t="s">
        <v>716</v>
      </c>
      <c r="AI149" s="159" t="s">
        <v>716</v>
      </c>
      <c r="AJ149" s="159" t="s">
        <v>716</v>
      </c>
      <c r="AK149" s="159" t="s">
        <v>716</v>
      </c>
      <c r="AL149" s="159" t="s">
        <v>716</v>
      </c>
    </row>
    <row r="150" spans="1:38" x14ac:dyDescent="0.35">
      <c r="A150" s="175">
        <v>148</v>
      </c>
      <c r="B150" s="159" t="s">
        <v>1280</v>
      </c>
      <c r="C150" s="159" t="s">
        <v>1281</v>
      </c>
      <c r="D150" s="159" t="s">
        <v>1332</v>
      </c>
      <c r="E150" s="159" t="s">
        <v>697</v>
      </c>
      <c r="F150" s="159" t="s">
        <v>697</v>
      </c>
      <c r="G150" s="159" t="s">
        <v>697</v>
      </c>
      <c r="H150" s="159" t="s">
        <v>1283</v>
      </c>
      <c r="I150" s="159" t="s">
        <v>697</v>
      </c>
      <c r="J150" s="159" t="s">
        <v>697</v>
      </c>
      <c r="K150" s="159" t="s">
        <v>697</v>
      </c>
      <c r="L150" s="159" t="s">
        <v>148</v>
      </c>
      <c r="M150" s="159" t="s">
        <v>1334</v>
      </c>
      <c r="N150" s="160">
        <v>2</v>
      </c>
      <c r="O150" s="161">
        <v>31534</v>
      </c>
      <c r="P150" s="161">
        <v>30835</v>
      </c>
      <c r="Q150" s="159" t="s">
        <v>700</v>
      </c>
      <c r="R150" s="162" t="s">
        <v>697</v>
      </c>
      <c r="S150" s="159" t="s">
        <v>697</v>
      </c>
      <c r="T150" s="159" t="s">
        <v>945</v>
      </c>
      <c r="U150" s="159" t="s">
        <v>1241</v>
      </c>
      <c r="V150" s="159" t="s">
        <v>1157</v>
      </c>
      <c r="W150" s="159" t="s">
        <v>704</v>
      </c>
      <c r="X150" s="159" t="s">
        <v>61</v>
      </c>
      <c r="Y150" s="159" t="s">
        <v>705</v>
      </c>
      <c r="Z150" s="159" t="s">
        <v>706</v>
      </c>
      <c r="AA150" s="164">
        <v>76650</v>
      </c>
      <c r="AB150" s="164">
        <v>200000</v>
      </c>
      <c r="AC150" s="159" t="s">
        <v>716</v>
      </c>
      <c r="AD150" s="159" t="s">
        <v>716</v>
      </c>
      <c r="AE150" s="159" t="s">
        <v>716</v>
      </c>
      <c r="AF150" s="159" t="s">
        <v>716</v>
      </c>
      <c r="AG150" s="159" t="s">
        <v>716</v>
      </c>
      <c r="AH150" s="159" t="s">
        <v>716</v>
      </c>
      <c r="AI150" s="159" t="s">
        <v>716</v>
      </c>
      <c r="AJ150" s="159" t="s">
        <v>716</v>
      </c>
      <c r="AK150" s="159" t="s">
        <v>716</v>
      </c>
      <c r="AL150" s="159" t="s">
        <v>716</v>
      </c>
    </row>
    <row r="151" spans="1:38" x14ac:dyDescent="0.35">
      <c r="A151" s="175">
        <v>149</v>
      </c>
      <c r="B151" s="57" t="s">
        <v>1335</v>
      </c>
      <c r="C151" s="57" t="s">
        <v>1336</v>
      </c>
      <c r="D151" s="57" t="s">
        <v>697</v>
      </c>
      <c r="E151" s="57" t="s">
        <v>697</v>
      </c>
      <c r="F151" s="57" t="s">
        <v>697</v>
      </c>
      <c r="G151" s="57" t="s">
        <v>697</v>
      </c>
      <c r="H151" s="57" t="s">
        <v>1337</v>
      </c>
      <c r="I151" s="57" t="s">
        <v>1338</v>
      </c>
      <c r="J151" s="57" t="s">
        <v>697</v>
      </c>
      <c r="K151" s="57" t="s">
        <v>697</v>
      </c>
      <c r="L151" s="57" t="s">
        <v>42</v>
      </c>
      <c r="M151" s="57" t="s">
        <v>1339</v>
      </c>
      <c r="N151" s="58">
        <v>2</v>
      </c>
      <c r="O151" s="56">
        <v>39132</v>
      </c>
      <c r="P151" s="56">
        <v>38431</v>
      </c>
      <c r="Q151" s="57" t="s">
        <v>700</v>
      </c>
      <c r="R151" s="177" t="s">
        <v>697</v>
      </c>
      <c r="S151" s="57" t="s">
        <v>697</v>
      </c>
      <c r="T151" s="57" t="s">
        <v>945</v>
      </c>
      <c r="U151" s="57" t="s">
        <v>1340</v>
      </c>
      <c r="V151" s="57" t="s">
        <v>1157</v>
      </c>
      <c r="W151" s="57" t="s">
        <v>704</v>
      </c>
      <c r="X151" s="57" t="s">
        <v>61</v>
      </c>
      <c r="Y151" s="57" t="s">
        <v>705</v>
      </c>
      <c r="Z151" s="57" t="s">
        <v>706</v>
      </c>
      <c r="AA151" s="164">
        <v>76650</v>
      </c>
      <c r="AB151" s="178">
        <v>200000</v>
      </c>
      <c r="AC151" s="57" t="s">
        <v>716</v>
      </c>
      <c r="AD151" s="57" t="s">
        <v>716</v>
      </c>
      <c r="AE151" s="57" t="s">
        <v>716</v>
      </c>
      <c r="AF151" s="57" t="s">
        <v>716</v>
      </c>
      <c r="AG151" s="57" t="s">
        <v>716</v>
      </c>
      <c r="AH151" s="57" t="s">
        <v>716</v>
      </c>
      <c r="AI151" s="57" t="s">
        <v>716</v>
      </c>
      <c r="AJ151" s="57" t="s">
        <v>716</v>
      </c>
      <c r="AK151" s="57" t="s">
        <v>716</v>
      </c>
      <c r="AL151" s="57" t="s">
        <v>716</v>
      </c>
    </row>
    <row r="152" spans="1:38" x14ac:dyDescent="0.35">
      <c r="A152" s="175">
        <v>150</v>
      </c>
      <c r="B152" s="57" t="s">
        <v>1341</v>
      </c>
      <c r="C152" s="57" t="s">
        <v>1342</v>
      </c>
      <c r="D152" s="57" t="s">
        <v>1343</v>
      </c>
      <c r="E152" s="57" t="s">
        <v>697</v>
      </c>
      <c r="F152" s="57" t="s">
        <v>697</v>
      </c>
      <c r="G152" s="57" t="s">
        <v>697</v>
      </c>
      <c r="H152" s="57" t="s">
        <v>768</v>
      </c>
      <c r="I152" s="57" t="s">
        <v>1344</v>
      </c>
      <c r="J152" s="57" t="s">
        <v>697</v>
      </c>
      <c r="K152" s="57" t="s">
        <v>697</v>
      </c>
      <c r="L152" s="57" t="s">
        <v>767</v>
      </c>
      <c r="M152" s="57" t="s">
        <v>1345</v>
      </c>
      <c r="N152" s="58">
        <v>2</v>
      </c>
      <c r="O152" s="56">
        <v>31934</v>
      </c>
      <c r="P152" s="56">
        <v>31234</v>
      </c>
      <c r="Q152" s="57" t="s">
        <v>700</v>
      </c>
      <c r="R152" s="177">
        <v>2.2999999999999998</v>
      </c>
      <c r="S152" s="57" t="s">
        <v>697</v>
      </c>
      <c r="T152" s="57" t="s">
        <v>1346</v>
      </c>
      <c r="U152" s="57" t="s">
        <v>1347</v>
      </c>
      <c r="V152" s="57" t="s">
        <v>1157</v>
      </c>
      <c r="W152" s="57" t="s">
        <v>704</v>
      </c>
      <c r="X152" s="57" t="s">
        <v>61</v>
      </c>
      <c r="Y152" s="57" t="s">
        <v>725</v>
      </c>
      <c r="Z152" s="57" t="s">
        <v>706</v>
      </c>
      <c r="AA152" s="164">
        <v>76650</v>
      </c>
      <c r="AB152" s="178">
        <v>200000</v>
      </c>
      <c r="AC152" s="57" t="s">
        <v>716</v>
      </c>
      <c r="AD152" s="57" t="s">
        <v>716</v>
      </c>
      <c r="AE152" s="57" t="s">
        <v>716</v>
      </c>
      <c r="AF152" s="57" t="s">
        <v>716</v>
      </c>
      <c r="AG152" s="57" t="s">
        <v>716</v>
      </c>
      <c r="AH152" s="57" t="s">
        <v>716</v>
      </c>
      <c r="AI152" s="57" t="s">
        <v>716</v>
      </c>
      <c r="AJ152" s="57" t="s">
        <v>716</v>
      </c>
      <c r="AK152" s="57" t="s">
        <v>716</v>
      </c>
      <c r="AL152" s="57" t="s">
        <v>716</v>
      </c>
    </row>
    <row r="153" spans="1:38" x14ac:dyDescent="0.35">
      <c r="A153" s="175">
        <v>151</v>
      </c>
      <c r="B153" s="57" t="s">
        <v>1341</v>
      </c>
      <c r="C153" s="57" t="s">
        <v>1342</v>
      </c>
      <c r="D153" s="57" t="s">
        <v>1343</v>
      </c>
      <c r="E153" s="57" t="s">
        <v>697</v>
      </c>
      <c r="F153" s="57" t="s">
        <v>697</v>
      </c>
      <c r="G153" s="57" t="s">
        <v>697</v>
      </c>
      <c r="H153" s="57" t="s">
        <v>768</v>
      </c>
      <c r="I153" s="57" t="s">
        <v>1344</v>
      </c>
      <c r="J153" s="57" t="s">
        <v>697</v>
      </c>
      <c r="K153" s="57" t="s">
        <v>697</v>
      </c>
      <c r="L153" s="57" t="s">
        <v>767</v>
      </c>
      <c r="M153" s="57" t="s">
        <v>1348</v>
      </c>
      <c r="N153" s="58">
        <v>2</v>
      </c>
      <c r="O153" s="56" t="s">
        <v>1245</v>
      </c>
      <c r="P153" s="56" t="s">
        <v>1246</v>
      </c>
      <c r="Q153" s="57" t="s">
        <v>700</v>
      </c>
      <c r="R153" s="177">
        <v>0.5</v>
      </c>
      <c r="S153" s="57" t="s">
        <v>697</v>
      </c>
      <c r="T153" s="57" t="s">
        <v>1346</v>
      </c>
      <c r="U153" s="57" t="s">
        <v>1347</v>
      </c>
      <c r="V153" s="57" t="s">
        <v>1157</v>
      </c>
      <c r="W153" s="57" t="s">
        <v>704</v>
      </c>
      <c r="X153" s="57" t="s">
        <v>61</v>
      </c>
      <c r="Y153" s="57" t="s">
        <v>725</v>
      </c>
      <c r="Z153" s="57" t="s">
        <v>706</v>
      </c>
      <c r="AA153" s="164">
        <v>76650</v>
      </c>
      <c r="AB153" s="178">
        <v>200000</v>
      </c>
      <c r="AC153" s="57" t="s">
        <v>716</v>
      </c>
      <c r="AD153" s="57" t="s">
        <v>716</v>
      </c>
      <c r="AE153" s="57" t="s">
        <v>716</v>
      </c>
      <c r="AF153" s="57" t="s">
        <v>716</v>
      </c>
      <c r="AG153" s="57" t="s">
        <v>716</v>
      </c>
      <c r="AH153" s="57" t="s">
        <v>716</v>
      </c>
      <c r="AI153" s="57" t="s">
        <v>716</v>
      </c>
      <c r="AJ153" s="57" t="s">
        <v>716</v>
      </c>
      <c r="AK153" s="57" t="s">
        <v>716</v>
      </c>
      <c r="AL153" s="57" t="s">
        <v>716</v>
      </c>
    </row>
    <row r="154" spans="1:38" x14ac:dyDescent="0.35">
      <c r="A154" s="175">
        <v>152</v>
      </c>
      <c r="B154" s="159" t="s">
        <v>1349</v>
      </c>
      <c r="C154" s="159" t="s">
        <v>1350</v>
      </c>
      <c r="D154" s="159" t="s">
        <v>1351</v>
      </c>
      <c r="E154" s="159" t="s">
        <v>697</v>
      </c>
      <c r="F154" s="159" t="s">
        <v>697</v>
      </c>
      <c r="G154" s="159" t="s">
        <v>697</v>
      </c>
      <c r="H154" s="159" t="s">
        <v>1352</v>
      </c>
      <c r="I154" s="159" t="s">
        <v>1353</v>
      </c>
      <c r="J154" s="159" t="s">
        <v>697</v>
      </c>
      <c r="K154" s="159" t="s">
        <v>697</v>
      </c>
      <c r="L154" s="159" t="s">
        <v>42</v>
      </c>
      <c r="M154" s="159" t="s">
        <v>1354</v>
      </c>
      <c r="N154" s="160">
        <v>2</v>
      </c>
      <c r="O154" s="161" t="s">
        <v>1355</v>
      </c>
      <c r="P154" s="161" t="s">
        <v>1356</v>
      </c>
      <c r="Q154" s="159" t="s">
        <v>700</v>
      </c>
      <c r="R154" s="162">
        <v>57.3</v>
      </c>
      <c r="S154" s="159" t="s">
        <v>697</v>
      </c>
      <c r="T154" s="159" t="s">
        <v>837</v>
      </c>
      <c r="U154" s="159" t="s">
        <v>1230</v>
      </c>
      <c r="V154" s="159" t="s">
        <v>1357</v>
      </c>
      <c r="W154" s="159" t="s">
        <v>704</v>
      </c>
      <c r="X154" s="159" t="s">
        <v>734</v>
      </c>
      <c r="Y154" s="159" t="s">
        <v>705</v>
      </c>
      <c r="Z154" s="159" t="s">
        <v>706</v>
      </c>
      <c r="AA154" s="164">
        <v>82245.45</v>
      </c>
      <c r="AB154" s="164">
        <v>200000</v>
      </c>
      <c r="AC154" s="159" t="s">
        <v>716</v>
      </c>
      <c r="AD154" s="159" t="s">
        <v>716</v>
      </c>
      <c r="AE154" s="159" t="s">
        <v>716</v>
      </c>
      <c r="AF154" s="159" t="s">
        <v>716</v>
      </c>
      <c r="AG154" s="159" t="s">
        <v>716</v>
      </c>
      <c r="AH154" s="159" t="s">
        <v>716</v>
      </c>
      <c r="AI154" s="159" t="s">
        <v>716</v>
      </c>
      <c r="AJ154" s="159" t="s">
        <v>716</v>
      </c>
      <c r="AK154" s="159" t="s">
        <v>716</v>
      </c>
      <c r="AL154" s="159" t="s">
        <v>716</v>
      </c>
    </row>
    <row r="155" spans="1:38" x14ac:dyDescent="0.35">
      <c r="A155" s="175">
        <v>153</v>
      </c>
      <c r="B155" s="159" t="s">
        <v>1349</v>
      </c>
      <c r="C155" s="159" t="s">
        <v>1350</v>
      </c>
      <c r="D155" s="159" t="s">
        <v>1358</v>
      </c>
      <c r="E155" s="159" t="s">
        <v>697</v>
      </c>
      <c r="F155" s="159" t="s">
        <v>697</v>
      </c>
      <c r="G155" s="159" t="s">
        <v>697</v>
      </c>
      <c r="H155" s="159" t="s">
        <v>1352</v>
      </c>
      <c r="I155" s="159" t="s">
        <v>1359</v>
      </c>
      <c r="J155" s="159" t="s">
        <v>697</v>
      </c>
      <c r="K155" s="159" t="s">
        <v>697</v>
      </c>
      <c r="L155" s="159" t="s">
        <v>35</v>
      </c>
      <c r="M155" s="159" t="s">
        <v>1360</v>
      </c>
      <c r="N155" s="160">
        <v>2</v>
      </c>
      <c r="O155" s="161" t="s">
        <v>1361</v>
      </c>
      <c r="P155" s="161" t="s">
        <v>1362</v>
      </c>
      <c r="Q155" s="159" t="s">
        <v>700</v>
      </c>
      <c r="R155" s="162">
        <v>66</v>
      </c>
      <c r="S155" s="159" t="s">
        <v>697</v>
      </c>
      <c r="T155" s="159" t="s">
        <v>837</v>
      </c>
      <c r="U155" s="159" t="s">
        <v>1230</v>
      </c>
      <c r="V155" s="159" t="s">
        <v>1357</v>
      </c>
      <c r="W155" s="159" t="s">
        <v>704</v>
      </c>
      <c r="X155" s="159" t="s">
        <v>734</v>
      </c>
      <c r="Y155" s="159" t="s">
        <v>705</v>
      </c>
      <c r="Z155" s="159" t="s">
        <v>706</v>
      </c>
      <c r="AA155" s="164">
        <v>88914</v>
      </c>
      <c r="AB155" s="164">
        <v>200000</v>
      </c>
      <c r="AC155" s="159" t="s">
        <v>716</v>
      </c>
      <c r="AD155" s="159" t="s">
        <v>716</v>
      </c>
      <c r="AE155" s="159" t="s">
        <v>716</v>
      </c>
      <c r="AF155" s="159" t="s">
        <v>716</v>
      </c>
      <c r="AG155" s="159" t="s">
        <v>716</v>
      </c>
      <c r="AH155" s="159" t="s">
        <v>716</v>
      </c>
      <c r="AI155" s="159" t="s">
        <v>716</v>
      </c>
      <c r="AJ155" s="159" t="s">
        <v>716</v>
      </c>
      <c r="AK155" s="159" t="s">
        <v>716</v>
      </c>
      <c r="AL155" s="159" t="s">
        <v>716</v>
      </c>
    </row>
    <row r="156" spans="1:38" x14ac:dyDescent="0.35">
      <c r="A156" s="175">
        <v>154</v>
      </c>
      <c r="B156" s="159" t="s">
        <v>1349</v>
      </c>
      <c r="C156" s="159" t="s">
        <v>1350</v>
      </c>
      <c r="D156" s="159" t="s">
        <v>1363</v>
      </c>
      <c r="E156" s="159" t="s">
        <v>697</v>
      </c>
      <c r="F156" s="159" t="s">
        <v>697</v>
      </c>
      <c r="G156" s="159" t="s">
        <v>697</v>
      </c>
      <c r="H156" s="159" t="s">
        <v>1352</v>
      </c>
      <c r="I156" s="159" t="s">
        <v>1364</v>
      </c>
      <c r="J156" s="159" t="s">
        <v>697</v>
      </c>
      <c r="K156" s="159" t="s">
        <v>697</v>
      </c>
      <c r="L156" s="159" t="s">
        <v>591</v>
      </c>
      <c r="M156" s="159" t="s">
        <v>1365</v>
      </c>
      <c r="N156" s="160">
        <v>2</v>
      </c>
      <c r="O156" s="161" t="s">
        <v>1366</v>
      </c>
      <c r="P156" s="161" t="s">
        <v>1367</v>
      </c>
      <c r="Q156" s="159" t="s">
        <v>700</v>
      </c>
      <c r="R156" s="162">
        <v>23.2</v>
      </c>
      <c r="S156" s="159" t="s">
        <v>697</v>
      </c>
      <c r="T156" s="159" t="s">
        <v>837</v>
      </c>
      <c r="U156" s="159" t="s">
        <v>1230</v>
      </c>
      <c r="V156" s="159" t="s">
        <v>1357</v>
      </c>
      <c r="W156" s="159" t="s">
        <v>704</v>
      </c>
      <c r="X156" s="159" t="s">
        <v>734</v>
      </c>
      <c r="Y156" s="159" t="s">
        <v>705</v>
      </c>
      <c r="Z156" s="159" t="s">
        <v>706</v>
      </c>
      <c r="AA156" s="164">
        <v>76650</v>
      </c>
      <c r="AB156" s="164">
        <v>200000</v>
      </c>
      <c r="AC156" s="159" t="s">
        <v>716</v>
      </c>
      <c r="AD156" s="159" t="s">
        <v>716</v>
      </c>
      <c r="AE156" s="159" t="s">
        <v>716</v>
      </c>
      <c r="AF156" s="159" t="s">
        <v>716</v>
      </c>
      <c r="AG156" s="159" t="s">
        <v>716</v>
      </c>
      <c r="AH156" s="159" t="s">
        <v>716</v>
      </c>
      <c r="AI156" s="159" t="s">
        <v>716</v>
      </c>
      <c r="AJ156" s="159" t="s">
        <v>716</v>
      </c>
      <c r="AK156" s="159" t="s">
        <v>716</v>
      </c>
      <c r="AL156" s="159" t="s">
        <v>716</v>
      </c>
    </row>
    <row r="157" spans="1:38" x14ac:dyDescent="0.35">
      <c r="A157" s="175">
        <v>155</v>
      </c>
      <c r="B157" s="159" t="s">
        <v>1349</v>
      </c>
      <c r="C157" s="159" t="s">
        <v>1350</v>
      </c>
      <c r="D157" s="159" t="s">
        <v>1368</v>
      </c>
      <c r="E157" s="159" t="s">
        <v>697</v>
      </c>
      <c r="F157" s="159" t="s">
        <v>697</v>
      </c>
      <c r="G157" s="159" t="s">
        <v>697</v>
      </c>
      <c r="H157" s="159" t="s">
        <v>1352</v>
      </c>
      <c r="I157" s="159" t="s">
        <v>1369</v>
      </c>
      <c r="J157" s="159" t="s">
        <v>697</v>
      </c>
      <c r="K157" s="159" t="s">
        <v>697</v>
      </c>
      <c r="L157" s="159" t="s">
        <v>721</v>
      </c>
      <c r="M157" s="159" t="s">
        <v>1370</v>
      </c>
      <c r="N157" s="160">
        <v>2</v>
      </c>
      <c r="O157" s="161" t="s">
        <v>1366</v>
      </c>
      <c r="P157" s="161" t="s">
        <v>1367</v>
      </c>
      <c r="Q157" s="159" t="s">
        <v>700</v>
      </c>
      <c r="R157" s="162">
        <v>23.2</v>
      </c>
      <c r="S157" s="159" t="s">
        <v>697</v>
      </c>
      <c r="T157" s="159" t="s">
        <v>837</v>
      </c>
      <c r="U157" s="159" t="s">
        <v>1230</v>
      </c>
      <c r="V157" s="159" t="s">
        <v>1357</v>
      </c>
      <c r="W157" s="159" t="s">
        <v>704</v>
      </c>
      <c r="X157" s="159" t="s">
        <v>734</v>
      </c>
      <c r="Y157" s="159" t="s">
        <v>705</v>
      </c>
      <c r="Z157" s="159" t="s">
        <v>706</v>
      </c>
      <c r="AA157" s="164">
        <v>76650</v>
      </c>
      <c r="AB157" s="164">
        <v>200000</v>
      </c>
      <c r="AC157" s="159" t="s">
        <v>716</v>
      </c>
      <c r="AD157" s="159" t="s">
        <v>716</v>
      </c>
      <c r="AE157" s="159" t="s">
        <v>716</v>
      </c>
      <c r="AF157" s="159" t="s">
        <v>716</v>
      </c>
      <c r="AG157" s="159" t="s">
        <v>716</v>
      </c>
      <c r="AH157" s="159" t="s">
        <v>716</v>
      </c>
      <c r="AI157" s="159" t="s">
        <v>716</v>
      </c>
      <c r="AJ157" s="159" t="s">
        <v>716</v>
      </c>
      <c r="AK157" s="159" t="s">
        <v>716</v>
      </c>
      <c r="AL157" s="159" t="s">
        <v>716</v>
      </c>
    </row>
    <row r="158" spans="1:38" x14ac:dyDescent="0.35">
      <c r="A158" s="175">
        <v>156</v>
      </c>
      <c r="B158" s="159" t="s">
        <v>1349</v>
      </c>
      <c r="C158" s="159" t="s">
        <v>1350</v>
      </c>
      <c r="D158" s="159" t="s">
        <v>1371</v>
      </c>
      <c r="E158" s="159" t="s">
        <v>697</v>
      </c>
      <c r="F158" s="159" t="s">
        <v>697</v>
      </c>
      <c r="G158" s="159" t="s">
        <v>697</v>
      </c>
      <c r="H158" s="159" t="s">
        <v>1352</v>
      </c>
      <c r="I158" s="159" t="s">
        <v>1372</v>
      </c>
      <c r="J158" s="159" t="s">
        <v>697</v>
      </c>
      <c r="K158" s="159" t="s">
        <v>697</v>
      </c>
      <c r="L158" s="159" t="s">
        <v>1373</v>
      </c>
      <c r="M158" s="159" t="s">
        <v>1374</v>
      </c>
      <c r="N158" s="160">
        <v>2</v>
      </c>
      <c r="O158" s="161" t="s">
        <v>1366</v>
      </c>
      <c r="P158" s="161" t="s">
        <v>1367</v>
      </c>
      <c r="Q158" s="159" t="s">
        <v>700</v>
      </c>
      <c r="R158" s="162">
        <v>23.2</v>
      </c>
      <c r="S158" s="159" t="s">
        <v>697</v>
      </c>
      <c r="T158" s="159" t="s">
        <v>837</v>
      </c>
      <c r="U158" s="159" t="s">
        <v>1230</v>
      </c>
      <c r="V158" s="159" t="s">
        <v>1357</v>
      </c>
      <c r="W158" s="159" t="s">
        <v>704</v>
      </c>
      <c r="X158" s="159" t="s">
        <v>734</v>
      </c>
      <c r="Y158" s="159" t="s">
        <v>705</v>
      </c>
      <c r="Z158" s="159" t="s">
        <v>706</v>
      </c>
      <c r="AA158" s="164">
        <v>76650</v>
      </c>
      <c r="AB158" s="164">
        <v>200000</v>
      </c>
      <c r="AC158" s="159" t="s">
        <v>716</v>
      </c>
      <c r="AD158" s="159" t="s">
        <v>716</v>
      </c>
      <c r="AE158" s="159" t="s">
        <v>716</v>
      </c>
      <c r="AF158" s="159" t="s">
        <v>716</v>
      </c>
      <c r="AG158" s="159" t="s">
        <v>716</v>
      </c>
      <c r="AH158" s="159" t="s">
        <v>716</v>
      </c>
      <c r="AI158" s="159" t="s">
        <v>716</v>
      </c>
      <c r="AJ158" s="159" t="s">
        <v>716</v>
      </c>
      <c r="AK158" s="159" t="s">
        <v>716</v>
      </c>
      <c r="AL158" s="159" t="s">
        <v>716</v>
      </c>
    </row>
    <row r="159" spans="1:38" x14ac:dyDescent="0.35">
      <c r="A159" s="175">
        <v>157</v>
      </c>
      <c r="B159" s="159" t="s">
        <v>1349</v>
      </c>
      <c r="C159" s="159" t="s">
        <v>1350</v>
      </c>
      <c r="D159" s="159" t="s">
        <v>1375</v>
      </c>
      <c r="E159" s="159" t="s">
        <v>697</v>
      </c>
      <c r="F159" s="159" t="s">
        <v>697</v>
      </c>
      <c r="G159" s="159" t="s">
        <v>697</v>
      </c>
      <c r="H159" s="159" t="s">
        <v>1352</v>
      </c>
      <c r="I159" s="159" t="s">
        <v>1376</v>
      </c>
      <c r="J159" s="159" t="s">
        <v>697</v>
      </c>
      <c r="K159" s="159" t="s">
        <v>697</v>
      </c>
      <c r="L159" s="159" t="s">
        <v>1377</v>
      </c>
      <c r="M159" s="159" t="s">
        <v>1378</v>
      </c>
      <c r="N159" s="160">
        <v>2</v>
      </c>
      <c r="O159" s="161" t="s">
        <v>1366</v>
      </c>
      <c r="P159" s="161" t="s">
        <v>1367</v>
      </c>
      <c r="Q159" s="159" t="s">
        <v>700</v>
      </c>
      <c r="R159" s="162">
        <v>23.2</v>
      </c>
      <c r="S159" s="159" t="s">
        <v>697</v>
      </c>
      <c r="T159" s="159" t="s">
        <v>837</v>
      </c>
      <c r="U159" s="159" t="s">
        <v>1230</v>
      </c>
      <c r="V159" s="159" t="s">
        <v>1357</v>
      </c>
      <c r="W159" s="159" t="s">
        <v>704</v>
      </c>
      <c r="X159" s="159" t="s">
        <v>734</v>
      </c>
      <c r="Y159" s="159" t="s">
        <v>705</v>
      </c>
      <c r="Z159" s="159" t="s">
        <v>706</v>
      </c>
      <c r="AA159" s="164">
        <v>76650</v>
      </c>
      <c r="AB159" s="164">
        <v>200000</v>
      </c>
      <c r="AC159" s="159" t="s">
        <v>716</v>
      </c>
      <c r="AD159" s="159" t="s">
        <v>716</v>
      </c>
      <c r="AE159" s="159" t="s">
        <v>716</v>
      </c>
      <c r="AF159" s="159" t="s">
        <v>716</v>
      </c>
      <c r="AG159" s="159" t="s">
        <v>716</v>
      </c>
      <c r="AH159" s="159" t="s">
        <v>716</v>
      </c>
      <c r="AI159" s="159" t="s">
        <v>716</v>
      </c>
      <c r="AJ159" s="159" t="s">
        <v>716</v>
      </c>
      <c r="AK159" s="159" t="s">
        <v>716</v>
      </c>
      <c r="AL159" s="159" t="s">
        <v>716</v>
      </c>
    </row>
    <row r="160" spans="1:38" x14ac:dyDescent="0.35">
      <c r="A160" s="175">
        <v>158</v>
      </c>
      <c r="B160" s="159" t="s">
        <v>1349</v>
      </c>
      <c r="C160" s="159" t="s">
        <v>1350</v>
      </c>
      <c r="D160" s="159" t="s">
        <v>1379</v>
      </c>
      <c r="E160" s="159" t="s">
        <v>697</v>
      </c>
      <c r="F160" s="159" t="s">
        <v>697</v>
      </c>
      <c r="G160" s="159" t="s">
        <v>697</v>
      </c>
      <c r="H160" s="159" t="s">
        <v>1352</v>
      </c>
      <c r="I160" s="159" t="s">
        <v>35</v>
      </c>
      <c r="J160" s="159" t="s">
        <v>697</v>
      </c>
      <c r="K160" s="159" t="s">
        <v>697</v>
      </c>
      <c r="L160" s="159" t="s">
        <v>35</v>
      </c>
      <c r="M160" s="159" t="s">
        <v>1380</v>
      </c>
      <c r="N160" s="160">
        <v>2</v>
      </c>
      <c r="O160" s="161" t="s">
        <v>1355</v>
      </c>
      <c r="P160" s="161" t="s">
        <v>1356</v>
      </c>
      <c r="Q160" s="159" t="s">
        <v>700</v>
      </c>
      <c r="R160" s="162">
        <v>35</v>
      </c>
      <c r="S160" s="159" t="s">
        <v>697</v>
      </c>
      <c r="T160" s="159" t="s">
        <v>837</v>
      </c>
      <c r="U160" s="159" t="s">
        <v>1230</v>
      </c>
      <c r="V160" s="159" t="s">
        <v>1357</v>
      </c>
      <c r="W160" s="159" t="s">
        <v>704</v>
      </c>
      <c r="X160" s="159" t="s">
        <v>734</v>
      </c>
      <c r="Y160" s="159" t="s">
        <v>705</v>
      </c>
      <c r="Z160" s="159" t="s">
        <v>706</v>
      </c>
      <c r="AA160" s="164">
        <v>76650</v>
      </c>
      <c r="AB160" s="164">
        <v>200000</v>
      </c>
      <c r="AC160" s="159" t="s">
        <v>716</v>
      </c>
      <c r="AD160" s="159" t="s">
        <v>716</v>
      </c>
      <c r="AE160" s="159" t="s">
        <v>716</v>
      </c>
      <c r="AF160" s="159" t="s">
        <v>716</v>
      </c>
      <c r="AG160" s="159" t="s">
        <v>716</v>
      </c>
      <c r="AH160" s="159" t="s">
        <v>716</v>
      </c>
      <c r="AI160" s="159" t="s">
        <v>716</v>
      </c>
      <c r="AJ160" s="159" t="s">
        <v>716</v>
      </c>
      <c r="AK160" s="159" t="s">
        <v>716</v>
      </c>
      <c r="AL160" s="159" t="s">
        <v>716</v>
      </c>
    </row>
    <row r="161" spans="1:38" x14ac:dyDescent="0.35">
      <c r="A161" s="175">
        <v>159</v>
      </c>
      <c r="B161" s="159" t="s">
        <v>1349</v>
      </c>
      <c r="C161" s="159" t="s">
        <v>1350</v>
      </c>
      <c r="D161" s="159" t="s">
        <v>1381</v>
      </c>
      <c r="E161" s="159" t="s">
        <v>697</v>
      </c>
      <c r="F161" s="159" t="s">
        <v>697</v>
      </c>
      <c r="G161" s="159" t="s">
        <v>697</v>
      </c>
      <c r="H161" s="159" t="s">
        <v>1352</v>
      </c>
      <c r="I161" s="159" t="s">
        <v>1382</v>
      </c>
      <c r="J161" s="159" t="s">
        <v>697</v>
      </c>
      <c r="K161" s="159" t="s">
        <v>697</v>
      </c>
      <c r="L161" s="159" t="s">
        <v>51</v>
      </c>
      <c r="M161" s="159" t="s">
        <v>1383</v>
      </c>
      <c r="N161" s="160">
        <v>2</v>
      </c>
      <c r="O161" s="161" t="s">
        <v>1361</v>
      </c>
      <c r="P161" s="161" t="s">
        <v>1362</v>
      </c>
      <c r="Q161" s="159" t="s">
        <v>700</v>
      </c>
      <c r="R161" s="162">
        <v>35</v>
      </c>
      <c r="S161" s="159" t="s">
        <v>697</v>
      </c>
      <c r="T161" s="159" t="s">
        <v>837</v>
      </c>
      <c r="U161" s="159" t="s">
        <v>1230</v>
      </c>
      <c r="V161" s="159" t="s">
        <v>1357</v>
      </c>
      <c r="W161" s="159" t="s">
        <v>704</v>
      </c>
      <c r="X161" s="159" t="s">
        <v>734</v>
      </c>
      <c r="Y161" s="159" t="s">
        <v>705</v>
      </c>
      <c r="Z161" s="159" t="s">
        <v>706</v>
      </c>
      <c r="AA161" s="164">
        <v>76650</v>
      </c>
      <c r="AB161" s="164">
        <v>200000</v>
      </c>
      <c r="AC161" s="159" t="s">
        <v>716</v>
      </c>
      <c r="AD161" s="159" t="s">
        <v>716</v>
      </c>
      <c r="AE161" s="159" t="s">
        <v>716</v>
      </c>
      <c r="AF161" s="159" t="s">
        <v>716</v>
      </c>
      <c r="AG161" s="159" t="s">
        <v>716</v>
      </c>
      <c r="AH161" s="159" t="s">
        <v>716</v>
      </c>
      <c r="AI161" s="159" t="s">
        <v>716</v>
      </c>
      <c r="AJ161" s="159" t="s">
        <v>716</v>
      </c>
      <c r="AK161" s="159" t="s">
        <v>716</v>
      </c>
      <c r="AL161" s="159" t="s">
        <v>716</v>
      </c>
    </row>
    <row r="162" spans="1:38" x14ac:dyDescent="0.35">
      <c r="A162" s="175">
        <v>160</v>
      </c>
      <c r="B162" s="159" t="s">
        <v>1349</v>
      </c>
      <c r="C162" s="159" t="s">
        <v>1350</v>
      </c>
      <c r="D162" s="159" t="s">
        <v>1381</v>
      </c>
      <c r="E162" s="159" t="s">
        <v>697</v>
      </c>
      <c r="F162" s="159" t="s">
        <v>697</v>
      </c>
      <c r="G162" s="159" t="s">
        <v>697</v>
      </c>
      <c r="H162" s="159" t="s">
        <v>1352</v>
      </c>
      <c r="I162" s="159" t="s">
        <v>1382</v>
      </c>
      <c r="J162" s="159" t="s">
        <v>697</v>
      </c>
      <c r="K162" s="159" t="s">
        <v>697</v>
      </c>
      <c r="L162" s="159" t="s">
        <v>51</v>
      </c>
      <c r="M162" s="159" t="s">
        <v>1384</v>
      </c>
      <c r="N162" s="160">
        <v>2</v>
      </c>
      <c r="O162" s="161" t="s">
        <v>1366</v>
      </c>
      <c r="P162" s="161" t="s">
        <v>1367</v>
      </c>
      <c r="Q162" s="159" t="s">
        <v>700</v>
      </c>
      <c r="R162" s="162">
        <v>35</v>
      </c>
      <c r="S162" s="159" t="s">
        <v>697</v>
      </c>
      <c r="T162" s="159" t="s">
        <v>837</v>
      </c>
      <c r="U162" s="159" t="s">
        <v>1230</v>
      </c>
      <c r="V162" s="159" t="s">
        <v>1357</v>
      </c>
      <c r="W162" s="159" t="s">
        <v>704</v>
      </c>
      <c r="X162" s="159" t="s">
        <v>734</v>
      </c>
      <c r="Y162" s="159" t="s">
        <v>705</v>
      </c>
      <c r="Z162" s="159" t="s">
        <v>706</v>
      </c>
      <c r="AA162" s="164">
        <v>76650</v>
      </c>
      <c r="AB162" s="164">
        <v>200000</v>
      </c>
      <c r="AC162" s="159" t="s">
        <v>716</v>
      </c>
      <c r="AD162" s="159" t="s">
        <v>716</v>
      </c>
      <c r="AE162" s="159" t="s">
        <v>716</v>
      </c>
      <c r="AF162" s="159" t="s">
        <v>716</v>
      </c>
      <c r="AG162" s="159" t="s">
        <v>716</v>
      </c>
      <c r="AH162" s="159" t="s">
        <v>716</v>
      </c>
      <c r="AI162" s="159" t="s">
        <v>716</v>
      </c>
      <c r="AJ162" s="159" t="s">
        <v>716</v>
      </c>
      <c r="AK162" s="159" t="s">
        <v>716</v>
      </c>
      <c r="AL162" s="159" t="s">
        <v>716</v>
      </c>
    </row>
    <row r="163" spans="1:38" x14ac:dyDescent="0.35">
      <c r="A163" s="175">
        <v>161</v>
      </c>
      <c r="B163" s="159" t="s">
        <v>1349</v>
      </c>
      <c r="C163" s="159" t="s">
        <v>1350</v>
      </c>
      <c r="D163" s="159" t="s">
        <v>1385</v>
      </c>
      <c r="E163" s="159" t="s">
        <v>697</v>
      </c>
      <c r="F163" s="159" t="s">
        <v>697</v>
      </c>
      <c r="G163" s="159" t="s">
        <v>697</v>
      </c>
      <c r="H163" s="159" t="s">
        <v>1352</v>
      </c>
      <c r="I163" s="159" t="s">
        <v>1225</v>
      </c>
      <c r="J163" s="159" t="s">
        <v>697</v>
      </c>
      <c r="K163" s="159" t="s">
        <v>697</v>
      </c>
      <c r="L163" s="159" t="s">
        <v>1386</v>
      </c>
      <c r="M163" s="159" t="s">
        <v>1387</v>
      </c>
      <c r="N163" s="160">
        <v>2</v>
      </c>
      <c r="O163" s="161" t="s">
        <v>1366</v>
      </c>
      <c r="P163" s="161" t="s">
        <v>1367</v>
      </c>
      <c r="Q163" s="159" t="s">
        <v>700</v>
      </c>
      <c r="R163" s="162">
        <v>25</v>
      </c>
      <c r="S163" s="159" t="s">
        <v>697</v>
      </c>
      <c r="T163" s="159" t="s">
        <v>837</v>
      </c>
      <c r="U163" s="159" t="s">
        <v>1230</v>
      </c>
      <c r="V163" s="159" t="s">
        <v>1357</v>
      </c>
      <c r="W163" s="159" t="s">
        <v>704</v>
      </c>
      <c r="X163" s="159" t="s">
        <v>734</v>
      </c>
      <c r="Y163" s="159" t="s">
        <v>705</v>
      </c>
      <c r="Z163" s="159" t="s">
        <v>706</v>
      </c>
      <c r="AA163" s="164">
        <v>76650</v>
      </c>
      <c r="AB163" s="164">
        <v>200000</v>
      </c>
      <c r="AC163" s="159" t="s">
        <v>716</v>
      </c>
      <c r="AD163" s="159" t="s">
        <v>716</v>
      </c>
      <c r="AE163" s="159" t="s">
        <v>716</v>
      </c>
      <c r="AF163" s="159" t="s">
        <v>716</v>
      </c>
      <c r="AG163" s="159" t="s">
        <v>716</v>
      </c>
      <c r="AH163" s="159" t="s">
        <v>716</v>
      </c>
      <c r="AI163" s="159" t="s">
        <v>716</v>
      </c>
      <c r="AJ163" s="159" t="s">
        <v>716</v>
      </c>
      <c r="AK163" s="159" t="s">
        <v>716</v>
      </c>
      <c r="AL163" s="159" t="s">
        <v>716</v>
      </c>
    </row>
    <row r="164" spans="1:38" x14ac:dyDescent="0.35">
      <c r="A164" s="175">
        <v>162</v>
      </c>
      <c r="B164" s="159" t="s">
        <v>1349</v>
      </c>
      <c r="C164" s="159" t="s">
        <v>1350</v>
      </c>
      <c r="D164" s="159" t="s">
        <v>1388</v>
      </c>
      <c r="E164" s="159" t="s">
        <v>697</v>
      </c>
      <c r="F164" s="159" t="s">
        <v>697</v>
      </c>
      <c r="G164" s="159" t="s">
        <v>697</v>
      </c>
      <c r="H164" s="159" t="s">
        <v>1352</v>
      </c>
      <c r="I164" s="159" t="s">
        <v>1389</v>
      </c>
      <c r="J164" s="159" t="s">
        <v>697</v>
      </c>
      <c r="K164" s="159" t="s">
        <v>697</v>
      </c>
      <c r="L164" s="159" t="s">
        <v>1373</v>
      </c>
      <c r="M164" s="159" t="s">
        <v>1390</v>
      </c>
      <c r="N164" s="160">
        <v>2</v>
      </c>
      <c r="O164" s="161" t="s">
        <v>1366</v>
      </c>
      <c r="P164" s="161" t="s">
        <v>1367</v>
      </c>
      <c r="Q164" s="159" t="s">
        <v>700</v>
      </c>
      <c r="R164" s="162">
        <v>25</v>
      </c>
      <c r="S164" s="159" t="s">
        <v>697</v>
      </c>
      <c r="T164" s="159" t="s">
        <v>837</v>
      </c>
      <c r="U164" s="159" t="s">
        <v>1230</v>
      </c>
      <c r="V164" s="159" t="s">
        <v>1357</v>
      </c>
      <c r="W164" s="159" t="s">
        <v>704</v>
      </c>
      <c r="X164" s="159" t="s">
        <v>734</v>
      </c>
      <c r="Y164" s="159" t="s">
        <v>705</v>
      </c>
      <c r="Z164" s="159" t="s">
        <v>706</v>
      </c>
      <c r="AA164" s="164">
        <v>76650</v>
      </c>
      <c r="AB164" s="164">
        <v>200000</v>
      </c>
      <c r="AC164" s="159" t="s">
        <v>716</v>
      </c>
      <c r="AD164" s="159" t="s">
        <v>716</v>
      </c>
      <c r="AE164" s="159" t="s">
        <v>716</v>
      </c>
      <c r="AF164" s="159" t="s">
        <v>716</v>
      </c>
      <c r="AG164" s="159" t="s">
        <v>716</v>
      </c>
      <c r="AH164" s="159" t="s">
        <v>716</v>
      </c>
      <c r="AI164" s="159" t="s">
        <v>716</v>
      </c>
      <c r="AJ164" s="159" t="s">
        <v>716</v>
      </c>
      <c r="AK164" s="159" t="s">
        <v>716</v>
      </c>
      <c r="AL164" s="159" t="s">
        <v>716</v>
      </c>
    </row>
    <row r="165" spans="1:38" x14ac:dyDescent="0.35">
      <c r="A165" s="175">
        <v>163</v>
      </c>
      <c r="B165" s="159" t="s">
        <v>1349</v>
      </c>
      <c r="C165" s="159" t="s">
        <v>1350</v>
      </c>
      <c r="D165" s="159" t="s">
        <v>1391</v>
      </c>
      <c r="E165" s="159" t="s">
        <v>697</v>
      </c>
      <c r="F165" s="159" t="s">
        <v>697</v>
      </c>
      <c r="G165" s="159" t="s">
        <v>697</v>
      </c>
      <c r="H165" s="159" t="s">
        <v>1352</v>
      </c>
      <c r="I165" s="159" t="s">
        <v>1392</v>
      </c>
      <c r="J165" s="159" t="s">
        <v>697</v>
      </c>
      <c r="K165" s="159" t="s">
        <v>697</v>
      </c>
      <c r="L165" s="159" t="s">
        <v>1392</v>
      </c>
      <c r="M165" s="159" t="s">
        <v>1393</v>
      </c>
      <c r="N165" s="160">
        <v>2</v>
      </c>
      <c r="O165" s="161" t="s">
        <v>1366</v>
      </c>
      <c r="P165" s="161" t="s">
        <v>1367</v>
      </c>
      <c r="Q165" s="159" t="s">
        <v>700</v>
      </c>
      <c r="R165" s="162">
        <v>32</v>
      </c>
      <c r="S165" s="159" t="s">
        <v>697</v>
      </c>
      <c r="T165" s="159" t="s">
        <v>837</v>
      </c>
      <c r="U165" s="159" t="s">
        <v>1230</v>
      </c>
      <c r="V165" s="159" t="s">
        <v>1357</v>
      </c>
      <c r="W165" s="159" t="s">
        <v>704</v>
      </c>
      <c r="X165" s="159" t="s">
        <v>734</v>
      </c>
      <c r="Y165" s="159" t="s">
        <v>705</v>
      </c>
      <c r="Z165" s="159" t="s">
        <v>706</v>
      </c>
      <c r="AA165" s="164">
        <v>76650</v>
      </c>
      <c r="AB165" s="164">
        <v>200000</v>
      </c>
      <c r="AC165" s="159" t="s">
        <v>716</v>
      </c>
      <c r="AD165" s="159" t="s">
        <v>716</v>
      </c>
      <c r="AE165" s="159" t="s">
        <v>716</v>
      </c>
      <c r="AF165" s="159" t="s">
        <v>716</v>
      </c>
      <c r="AG165" s="159" t="s">
        <v>716</v>
      </c>
      <c r="AH165" s="159" t="s">
        <v>716</v>
      </c>
      <c r="AI165" s="159" t="s">
        <v>716</v>
      </c>
      <c r="AJ165" s="159" t="s">
        <v>716</v>
      </c>
      <c r="AK165" s="159" t="s">
        <v>716</v>
      </c>
      <c r="AL165" s="159" t="s">
        <v>716</v>
      </c>
    </row>
    <row r="166" spans="1:38" x14ac:dyDescent="0.35">
      <c r="A166" s="175">
        <v>164</v>
      </c>
      <c r="B166" s="57" t="s">
        <v>1394</v>
      </c>
      <c r="C166" s="57" t="s">
        <v>1395</v>
      </c>
      <c r="D166" s="54" t="s">
        <v>1396</v>
      </c>
      <c r="E166" s="57" t="s">
        <v>697</v>
      </c>
      <c r="F166" s="57" t="s">
        <v>697</v>
      </c>
      <c r="G166" s="57" t="s">
        <v>697</v>
      </c>
      <c r="H166" s="57" t="s">
        <v>1397</v>
      </c>
      <c r="I166" s="57" t="s">
        <v>321</v>
      </c>
      <c r="J166" s="57" t="s">
        <v>697</v>
      </c>
      <c r="K166" s="57" t="s">
        <v>697</v>
      </c>
      <c r="L166" s="57" t="s">
        <v>321</v>
      </c>
      <c r="M166" s="57" t="s">
        <v>1394</v>
      </c>
      <c r="N166" s="58">
        <v>2</v>
      </c>
      <c r="O166" s="56" t="s">
        <v>1398</v>
      </c>
      <c r="P166" s="56" t="s">
        <v>1399</v>
      </c>
      <c r="Q166" s="57" t="s">
        <v>700</v>
      </c>
      <c r="R166" s="177">
        <v>30</v>
      </c>
      <c r="S166" s="57" t="s">
        <v>697</v>
      </c>
      <c r="T166" s="57" t="s">
        <v>697</v>
      </c>
      <c r="U166" s="57" t="s">
        <v>1400</v>
      </c>
      <c r="V166" s="57" t="s">
        <v>1182</v>
      </c>
      <c r="W166" s="57" t="s">
        <v>704</v>
      </c>
      <c r="X166" s="57" t="s">
        <v>61</v>
      </c>
      <c r="Y166" s="57" t="s">
        <v>705</v>
      </c>
      <c r="Z166" s="57" t="s">
        <v>706</v>
      </c>
      <c r="AA166" s="164">
        <v>76650</v>
      </c>
      <c r="AB166" s="164">
        <v>200000</v>
      </c>
      <c r="AC166" s="159" t="s">
        <v>716</v>
      </c>
      <c r="AD166" s="159" t="s">
        <v>716</v>
      </c>
      <c r="AE166" s="159" t="s">
        <v>716</v>
      </c>
      <c r="AF166" s="159" t="s">
        <v>716</v>
      </c>
      <c r="AG166" s="159" t="s">
        <v>716</v>
      </c>
      <c r="AH166" s="159" t="s">
        <v>716</v>
      </c>
      <c r="AI166" s="159" t="s">
        <v>716</v>
      </c>
      <c r="AJ166" s="159" t="s">
        <v>716</v>
      </c>
      <c r="AK166" s="159" t="s">
        <v>716</v>
      </c>
      <c r="AL166" s="159" t="s">
        <v>716</v>
      </c>
    </row>
    <row r="167" spans="1:38" x14ac:dyDescent="0.35">
      <c r="A167" s="175">
        <v>165</v>
      </c>
      <c r="B167" s="57" t="s">
        <v>1401</v>
      </c>
      <c r="C167" s="57" t="s">
        <v>1402</v>
      </c>
      <c r="D167" s="54" t="s">
        <v>1403</v>
      </c>
      <c r="E167" s="57" t="s">
        <v>697</v>
      </c>
      <c r="F167" s="57" t="s">
        <v>697</v>
      </c>
      <c r="G167" s="57" t="s">
        <v>697</v>
      </c>
      <c r="H167" s="57" t="s">
        <v>1404</v>
      </c>
      <c r="I167" s="57" t="s">
        <v>18</v>
      </c>
      <c r="J167" s="57" t="s">
        <v>697</v>
      </c>
      <c r="K167" s="57" t="s">
        <v>697</v>
      </c>
      <c r="L167" s="57" t="s">
        <v>18</v>
      </c>
      <c r="M167" s="57" t="s">
        <v>1405</v>
      </c>
      <c r="N167" s="58">
        <v>2</v>
      </c>
      <c r="O167" s="56" t="s">
        <v>1406</v>
      </c>
      <c r="P167" s="56" t="s">
        <v>1407</v>
      </c>
      <c r="Q167" s="57" t="s">
        <v>700</v>
      </c>
      <c r="R167" s="177">
        <v>591</v>
      </c>
      <c r="S167" s="57" t="s">
        <v>1408</v>
      </c>
      <c r="T167" s="57" t="s">
        <v>945</v>
      </c>
      <c r="U167" s="57" t="s">
        <v>1230</v>
      </c>
      <c r="V167" s="57" t="s">
        <v>1357</v>
      </c>
      <c r="W167" s="57" t="s">
        <v>704</v>
      </c>
      <c r="X167" s="57" t="s">
        <v>61</v>
      </c>
      <c r="Y167" s="57" t="s">
        <v>705</v>
      </c>
      <c r="Z167" s="57" t="s">
        <v>706</v>
      </c>
      <c r="AA167" s="178">
        <v>473313.75</v>
      </c>
      <c r="AB167" s="178">
        <v>200000</v>
      </c>
      <c r="AC167" s="57" t="s">
        <v>716</v>
      </c>
      <c r="AD167" s="57" t="s">
        <v>716</v>
      </c>
      <c r="AE167" s="57" t="s">
        <v>716</v>
      </c>
      <c r="AF167" s="57" t="s">
        <v>716</v>
      </c>
      <c r="AG167" s="57" t="s">
        <v>716</v>
      </c>
      <c r="AH167" s="57" t="s">
        <v>716</v>
      </c>
      <c r="AI167" s="57" t="s">
        <v>716</v>
      </c>
      <c r="AJ167" s="57" t="s">
        <v>716</v>
      </c>
      <c r="AK167" s="57" t="s">
        <v>716</v>
      </c>
      <c r="AL167" s="57" t="s">
        <v>716</v>
      </c>
    </row>
    <row r="168" spans="1:38" ht="72.5" x14ac:dyDescent="0.35">
      <c r="A168" s="175">
        <v>166</v>
      </c>
      <c r="B168" s="57" t="s">
        <v>1401</v>
      </c>
      <c r="C168" s="57" t="s">
        <v>1402</v>
      </c>
      <c r="D168" s="54" t="s">
        <v>1403</v>
      </c>
      <c r="E168" s="57" t="s">
        <v>697</v>
      </c>
      <c r="F168" s="57" t="s">
        <v>697</v>
      </c>
      <c r="G168" s="57" t="s">
        <v>697</v>
      </c>
      <c r="H168" s="57" t="s">
        <v>1404</v>
      </c>
      <c r="I168" s="57" t="s">
        <v>18</v>
      </c>
      <c r="J168" s="57" t="s">
        <v>697</v>
      </c>
      <c r="K168" s="57" t="s">
        <v>697</v>
      </c>
      <c r="L168" s="57" t="s">
        <v>18</v>
      </c>
      <c r="M168" s="57" t="s">
        <v>1409</v>
      </c>
      <c r="N168" s="58">
        <v>2</v>
      </c>
      <c r="O168" s="56" t="s">
        <v>1406</v>
      </c>
      <c r="P168" s="56" t="s">
        <v>1407</v>
      </c>
      <c r="Q168" s="57" t="s">
        <v>700</v>
      </c>
      <c r="R168" s="177">
        <v>246</v>
      </c>
      <c r="S168" s="176" t="s">
        <v>1410</v>
      </c>
      <c r="T168" s="57" t="s">
        <v>945</v>
      </c>
      <c r="U168" s="57" t="s">
        <v>1230</v>
      </c>
      <c r="V168" s="57" t="s">
        <v>1357</v>
      </c>
      <c r="W168" s="57" t="s">
        <v>704</v>
      </c>
      <c r="X168" s="57" t="s">
        <v>61</v>
      </c>
      <c r="Y168" s="57" t="s">
        <v>705</v>
      </c>
      <c r="Z168" s="57" t="s">
        <v>706</v>
      </c>
      <c r="AA168" s="178">
        <v>252945</v>
      </c>
      <c r="AB168" s="178">
        <v>200000</v>
      </c>
      <c r="AC168" s="57" t="s">
        <v>716</v>
      </c>
      <c r="AD168" s="57" t="s">
        <v>716</v>
      </c>
      <c r="AE168" s="57" t="s">
        <v>716</v>
      </c>
      <c r="AF168" s="57" t="s">
        <v>716</v>
      </c>
      <c r="AG168" s="57" t="s">
        <v>716</v>
      </c>
      <c r="AH168" s="57" t="s">
        <v>716</v>
      </c>
      <c r="AI168" s="57" t="s">
        <v>716</v>
      </c>
      <c r="AJ168" s="57" t="s">
        <v>716</v>
      </c>
      <c r="AK168" s="57" t="s">
        <v>716</v>
      </c>
      <c r="AL168" s="57" t="s">
        <v>716</v>
      </c>
    </row>
    <row r="169" spans="1:38" ht="29" x14ac:dyDescent="0.35">
      <c r="A169" s="175">
        <v>167</v>
      </c>
      <c r="B169" s="57" t="s">
        <v>1401</v>
      </c>
      <c r="C169" s="57" t="s">
        <v>1402</v>
      </c>
      <c r="D169" s="54" t="s">
        <v>1403</v>
      </c>
      <c r="E169" s="57" t="s">
        <v>697</v>
      </c>
      <c r="F169" s="57" t="s">
        <v>697</v>
      </c>
      <c r="G169" s="57" t="s">
        <v>697</v>
      </c>
      <c r="H169" s="57" t="s">
        <v>1404</v>
      </c>
      <c r="I169" s="57" t="s">
        <v>18</v>
      </c>
      <c r="J169" s="57" t="s">
        <v>697</v>
      </c>
      <c r="K169" s="57" t="s">
        <v>697</v>
      </c>
      <c r="L169" s="57" t="s">
        <v>18</v>
      </c>
      <c r="M169" s="57" t="s">
        <v>1411</v>
      </c>
      <c r="N169" s="58">
        <v>2</v>
      </c>
      <c r="O169" s="56" t="s">
        <v>1406</v>
      </c>
      <c r="P169" s="56" t="s">
        <v>1407</v>
      </c>
      <c r="Q169" s="57" t="s">
        <v>700</v>
      </c>
      <c r="R169" s="177">
        <v>104</v>
      </c>
      <c r="S169" s="176" t="s">
        <v>1412</v>
      </c>
      <c r="T169" s="57" t="s">
        <v>945</v>
      </c>
      <c r="U169" s="57" t="s">
        <v>1230</v>
      </c>
      <c r="V169" s="57" t="s">
        <v>1357</v>
      </c>
      <c r="W169" s="57" t="s">
        <v>704</v>
      </c>
      <c r="X169" s="57" t="s">
        <v>61</v>
      </c>
      <c r="Y169" s="57" t="s">
        <v>705</v>
      </c>
      <c r="Z169" s="57" t="s">
        <v>706</v>
      </c>
      <c r="AA169" s="178">
        <v>147551.25</v>
      </c>
      <c r="AB169" s="178">
        <v>200000</v>
      </c>
      <c r="AC169" s="57" t="s">
        <v>716</v>
      </c>
      <c r="AD169" s="57" t="s">
        <v>716</v>
      </c>
      <c r="AE169" s="57" t="s">
        <v>716</v>
      </c>
      <c r="AF169" s="57" t="s">
        <v>716</v>
      </c>
      <c r="AG169" s="57" t="s">
        <v>716</v>
      </c>
      <c r="AH169" s="57" t="s">
        <v>716</v>
      </c>
      <c r="AI169" s="57" t="s">
        <v>716</v>
      </c>
      <c r="AJ169" s="57" t="s">
        <v>716</v>
      </c>
      <c r="AK169" s="57" t="s">
        <v>716</v>
      </c>
      <c r="AL169" s="57" t="s">
        <v>716</v>
      </c>
    </row>
    <row r="170" spans="1:38" ht="29" x14ac:dyDescent="0.35">
      <c r="A170" s="175">
        <v>168</v>
      </c>
      <c r="B170" s="57" t="s">
        <v>1401</v>
      </c>
      <c r="C170" s="57" t="s">
        <v>1402</v>
      </c>
      <c r="D170" s="54" t="s">
        <v>1403</v>
      </c>
      <c r="E170" s="57" t="s">
        <v>697</v>
      </c>
      <c r="F170" s="57" t="s">
        <v>697</v>
      </c>
      <c r="G170" s="57" t="s">
        <v>697</v>
      </c>
      <c r="H170" s="57" t="s">
        <v>1404</v>
      </c>
      <c r="I170" s="57" t="s">
        <v>18</v>
      </c>
      <c r="J170" s="57" t="s">
        <v>697</v>
      </c>
      <c r="K170" s="57" t="s">
        <v>697</v>
      </c>
      <c r="L170" s="57" t="s">
        <v>18</v>
      </c>
      <c r="M170" s="57" t="s">
        <v>1413</v>
      </c>
      <c r="N170" s="58">
        <v>2</v>
      </c>
      <c r="O170" s="56" t="s">
        <v>1406</v>
      </c>
      <c r="P170" s="56" t="s">
        <v>1407</v>
      </c>
      <c r="Q170" s="57" t="s">
        <v>700</v>
      </c>
      <c r="R170" s="177" t="s">
        <v>1414</v>
      </c>
      <c r="S170" s="176" t="s">
        <v>1060</v>
      </c>
      <c r="T170" s="57" t="s">
        <v>945</v>
      </c>
      <c r="U170" s="57" t="s">
        <v>1415</v>
      </c>
      <c r="V170" s="57" t="s">
        <v>1357</v>
      </c>
      <c r="W170" s="57" t="s">
        <v>704</v>
      </c>
      <c r="X170" s="57" t="s">
        <v>61</v>
      </c>
      <c r="Y170" s="57" t="s">
        <v>705</v>
      </c>
      <c r="Z170" s="57" t="s">
        <v>706</v>
      </c>
      <c r="AA170" s="178">
        <v>8374012.5</v>
      </c>
      <c r="AB170" s="178">
        <v>200000</v>
      </c>
      <c r="AC170" s="57" t="s">
        <v>716</v>
      </c>
      <c r="AD170" s="57" t="s">
        <v>716</v>
      </c>
      <c r="AE170" s="57" t="s">
        <v>716</v>
      </c>
      <c r="AF170" s="57" t="s">
        <v>716</v>
      </c>
      <c r="AG170" s="57" t="s">
        <v>716</v>
      </c>
      <c r="AH170" s="57" t="s">
        <v>716</v>
      </c>
      <c r="AI170" s="57" t="s">
        <v>716</v>
      </c>
      <c r="AJ170" s="57" t="s">
        <v>716</v>
      </c>
      <c r="AK170" s="57" t="s">
        <v>716</v>
      </c>
      <c r="AL170" s="57" t="s">
        <v>716</v>
      </c>
    </row>
    <row r="171" spans="1:38" ht="29" x14ac:dyDescent="0.35">
      <c r="A171" s="175">
        <v>169</v>
      </c>
      <c r="B171" s="57" t="s">
        <v>1401</v>
      </c>
      <c r="C171" s="57" t="s">
        <v>1402</v>
      </c>
      <c r="D171" s="54" t="s">
        <v>1403</v>
      </c>
      <c r="E171" s="57" t="s">
        <v>697</v>
      </c>
      <c r="F171" s="57" t="s">
        <v>697</v>
      </c>
      <c r="G171" s="57" t="s">
        <v>697</v>
      </c>
      <c r="H171" s="57" t="s">
        <v>1404</v>
      </c>
      <c r="I171" s="57" t="s">
        <v>18</v>
      </c>
      <c r="J171" s="57" t="s">
        <v>697</v>
      </c>
      <c r="K171" s="57" t="s">
        <v>697</v>
      </c>
      <c r="L171" s="57" t="s">
        <v>18</v>
      </c>
      <c r="M171" s="57" t="s">
        <v>1405</v>
      </c>
      <c r="N171" s="58">
        <v>2</v>
      </c>
      <c r="O171" s="56" t="s">
        <v>1406</v>
      </c>
      <c r="P171" s="56" t="s">
        <v>1407</v>
      </c>
      <c r="Q171" s="57" t="s">
        <v>700</v>
      </c>
      <c r="R171" s="177" t="s">
        <v>1414</v>
      </c>
      <c r="S171" s="176" t="s">
        <v>1408</v>
      </c>
      <c r="T171" s="57" t="s">
        <v>945</v>
      </c>
      <c r="U171" s="57" t="s">
        <v>1415</v>
      </c>
      <c r="V171" s="57" t="s">
        <v>1357</v>
      </c>
      <c r="W171" s="57" t="s">
        <v>704</v>
      </c>
      <c r="X171" s="57" t="s">
        <v>61</v>
      </c>
      <c r="Y171" s="57" t="s">
        <v>705</v>
      </c>
      <c r="Z171" s="57" t="s">
        <v>706</v>
      </c>
      <c r="AA171" s="178">
        <v>8374012.5</v>
      </c>
      <c r="AB171" s="178">
        <v>200000</v>
      </c>
      <c r="AC171" s="57" t="s">
        <v>716</v>
      </c>
      <c r="AD171" s="57" t="s">
        <v>716</v>
      </c>
      <c r="AE171" s="57" t="s">
        <v>716</v>
      </c>
      <c r="AF171" s="57" t="s">
        <v>716</v>
      </c>
      <c r="AG171" s="57" t="s">
        <v>716</v>
      </c>
      <c r="AH171" s="57" t="s">
        <v>716</v>
      </c>
      <c r="AI171" s="57" t="s">
        <v>716</v>
      </c>
      <c r="AJ171" s="57" t="s">
        <v>716</v>
      </c>
      <c r="AK171" s="57" t="s">
        <v>716</v>
      </c>
      <c r="AL171" s="57" t="s">
        <v>716</v>
      </c>
    </row>
    <row r="172" spans="1:38" ht="72.5" x14ac:dyDescent="0.35">
      <c r="A172" s="175">
        <v>170</v>
      </c>
      <c r="B172" s="57" t="s">
        <v>1401</v>
      </c>
      <c r="C172" s="57" t="s">
        <v>1402</v>
      </c>
      <c r="D172" s="54" t="s">
        <v>1403</v>
      </c>
      <c r="E172" s="57" t="s">
        <v>697</v>
      </c>
      <c r="F172" s="57" t="s">
        <v>697</v>
      </c>
      <c r="G172" s="57" t="s">
        <v>697</v>
      </c>
      <c r="H172" s="57" t="s">
        <v>1404</v>
      </c>
      <c r="I172" s="57" t="s">
        <v>18</v>
      </c>
      <c r="J172" s="57" t="s">
        <v>697</v>
      </c>
      <c r="K172" s="57" t="s">
        <v>697</v>
      </c>
      <c r="L172" s="57" t="s">
        <v>18</v>
      </c>
      <c r="M172" s="57" t="s">
        <v>1409</v>
      </c>
      <c r="N172" s="58">
        <v>2</v>
      </c>
      <c r="O172" s="56" t="s">
        <v>1406</v>
      </c>
      <c r="P172" s="56" t="s">
        <v>1407</v>
      </c>
      <c r="Q172" s="57" t="s">
        <v>700</v>
      </c>
      <c r="R172" s="177" t="s">
        <v>1414</v>
      </c>
      <c r="S172" s="176" t="s">
        <v>1410</v>
      </c>
      <c r="T172" s="57" t="s">
        <v>945</v>
      </c>
      <c r="U172" s="57" t="s">
        <v>1415</v>
      </c>
      <c r="V172" s="57" t="s">
        <v>1357</v>
      </c>
      <c r="W172" s="57" t="s">
        <v>704</v>
      </c>
      <c r="X172" s="57" t="s">
        <v>61</v>
      </c>
      <c r="Y172" s="57" t="s">
        <v>705</v>
      </c>
      <c r="Z172" s="57" t="s">
        <v>706</v>
      </c>
      <c r="AA172" s="178">
        <v>8374012.5</v>
      </c>
      <c r="AB172" s="178">
        <v>200000</v>
      </c>
      <c r="AC172" s="57" t="s">
        <v>716</v>
      </c>
      <c r="AD172" s="57" t="s">
        <v>716</v>
      </c>
      <c r="AE172" s="57" t="s">
        <v>716</v>
      </c>
      <c r="AF172" s="57" t="s">
        <v>716</v>
      </c>
      <c r="AG172" s="57" t="s">
        <v>716</v>
      </c>
      <c r="AH172" s="57" t="s">
        <v>716</v>
      </c>
      <c r="AI172" s="57" t="s">
        <v>716</v>
      </c>
      <c r="AJ172" s="57" t="s">
        <v>716</v>
      </c>
      <c r="AK172" s="57" t="s">
        <v>716</v>
      </c>
      <c r="AL172" s="57" t="s">
        <v>716</v>
      </c>
    </row>
    <row r="173" spans="1:38" ht="116" x14ac:dyDescent="0.35">
      <c r="A173" s="175">
        <v>171</v>
      </c>
      <c r="B173" s="57" t="s">
        <v>1416</v>
      </c>
      <c r="C173" s="176" t="s">
        <v>1417</v>
      </c>
      <c r="D173" s="176" t="s">
        <v>1418</v>
      </c>
      <c r="E173" s="57" t="s">
        <v>61</v>
      </c>
      <c r="F173" s="57" t="s">
        <v>61</v>
      </c>
      <c r="G173" s="57" t="s">
        <v>61</v>
      </c>
      <c r="H173" s="57" t="s">
        <v>61</v>
      </c>
      <c r="I173" s="57" t="s">
        <v>61</v>
      </c>
      <c r="J173" s="57" t="s">
        <v>61</v>
      </c>
      <c r="K173" s="57" t="s">
        <v>61</v>
      </c>
      <c r="L173" s="57" t="s">
        <v>61</v>
      </c>
      <c r="M173" s="57" t="s">
        <v>61</v>
      </c>
      <c r="N173" s="57" t="s">
        <v>61</v>
      </c>
      <c r="O173" s="57" t="s">
        <v>61</v>
      </c>
      <c r="P173" s="57" t="s">
        <v>61</v>
      </c>
      <c r="Q173" s="57" t="s">
        <v>61</v>
      </c>
      <c r="R173" s="57" t="s">
        <v>61</v>
      </c>
      <c r="S173" s="57" t="s">
        <v>61</v>
      </c>
      <c r="T173" s="57" t="s">
        <v>61</v>
      </c>
      <c r="U173" s="57" t="s">
        <v>61</v>
      </c>
      <c r="V173" s="57" t="s">
        <v>61</v>
      </c>
      <c r="W173" s="57" t="s">
        <v>61</v>
      </c>
      <c r="X173" s="57" t="s">
        <v>61</v>
      </c>
      <c r="Y173" s="57" t="s">
        <v>61</v>
      </c>
      <c r="Z173" s="57" t="s">
        <v>61</v>
      </c>
      <c r="AA173" s="178">
        <v>0</v>
      </c>
      <c r="AB173" s="178">
        <v>0</v>
      </c>
      <c r="AC173" s="57" t="s">
        <v>61</v>
      </c>
      <c r="AD173" s="57" t="s">
        <v>61</v>
      </c>
      <c r="AE173" s="57" t="s">
        <v>61</v>
      </c>
      <c r="AF173" s="57" t="s">
        <v>61</v>
      </c>
      <c r="AG173" s="57" t="s">
        <v>61</v>
      </c>
      <c r="AH173" s="57" t="s">
        <v>61</v>
      </c>
      <c r="AI173" s="57" t="s">
        <v>61</v>
      </c>
      <c r="AJ173" s="57" t="s">
        <v>61</v>
      </c>
      <c r="AK173" s="57" t="s">
        <v>61</v>
      </c>
      <c r="AL173" s="57" t="s">
        <v>61</v>
      </c>
    </row>
    <row r="174" spans="1:38" ht="101.5" x14ac:dyDescent="0.35">
      <c r="A174" s="175">
        <v>172</v>
      </c>
      <c r="B174" s="57" t="s">
        <v>1419</v>
      </c>
      <c r="C174" t="s">
        <v>1420</v>
      </c>
      <c r="D174" s="57" t="s">
        <v>1421</v>
      </c>
      <c r="E174" s="57" t="s">
        <v>697</v>
      </c>
      <c r="F174" s="57" t="s">
        <v>697</v>
      </c>
      <c r="G174" s="57" t="s">
        <v>697</v>
      </c>
      <c r="H174" s="57" t="s">
        <v>1422</v>
      </c>
      <c r="I174" s="57" t="s">
        <v>1423</v>
      </c>
      <c r="J174" s="57" t="s">
        <v>697</v>
      </c>
      <c r="K174" s="57" t="s">
        <v>697</v>
      </c>
      <c r="L174" s="57" t="s">
        <v>18</v>
      </c>
      <c r="M174" s="57" t="s">
        <v>1424</v>
      </c>
      <c r="N174" s="58">
        <v>2</v>
      </c>
      <c r="O174" s="56" t="s">
        <v>1425</v>
      </c>
      <c r="P174" s="56" t="s">
        <v>1426</v>
      </c>
      <c r="Q174" s="57" t="s">
        <v>700</v>
      </c>
      <c r="R174" s="177" t="s">
        <v>697</v>
      </c>
      <c r="S174" s="57" t="s">
        <v>1427</v>
      </c>
      <c r="T174" s="57" t="s">
        <v>945</v>
      </c>
      <c r="U174" s="176" t="s">
        <v>1428</v>
      </c>
      <c r="V174" s="57" t="s">
        <v>1357</v>
      </c>
      <c r="W174" s="57" t="s">
        <v>704</v>
      </c>
      <c r="X174" s="57" t="s">
        <v>61</v>
      </c>
      <c r="Y174" s="57" t="s">
        <v>725</v>
      </c>
      <c r="Z174" s="57" t="s">
        <v>706</v>
      </c>
      <c r="AA174" s="178">
        <v>76650</v>
      </c>
      <c r="AB174" s="178">
        <v>200000</v>
      </c>
      <c r="AC174" s="57" t="s">
        <v>716</v>
      </c>
      <c r="AD174" s="57" t="s">
        <v>716</v>
      </c>
      <c r="AE174" s="57" t="s">
        <v>716</v>
      </c>
      <c r="AF174" s="57" t="s">
        <v>716</v>
      </c>
      <c r="AG174" s="57" t="s">
        <v>716</v>
      </c>
      <c r="AH174" s="57" t="s">
        <v>716</v>
      </c>
      <c r="AI174" s="57" t="s">
        <v>716</v>
      </c>
      <c r="AJ174" s="57" t="s">
        <v>716</v>
      </c>
      <c r="AK174" s="57" t="s">
        <v>716</v>
      </c>
      <c r="AL174" s="57" t="s">
        <v>716</v>
      </c>
    </row>
    <row r="175" spans="1:38" x14ac:dyDescent="0.35">
      <c r="A175" s="175">
        <v>173</v>
      </c>
      <c r="B175" s="57" t="s">
        <v>1429</v>
      </c>
      <c r="C175" s="57" t="s">
        <v>1430</v>
      </c>
      <c r="D175" s="57" t="s">
        <v>1430</v>
      </c>
      <c r="E175" s="57" t="s">
        <v>1431</v>
      </c>
      <c r="F175" s="57" t="s">
        <v>697</v>
      </c>
      <c r="G175" s="57" t="s">
        <v>697</v>
      </c>
      <c r="H175" s="57" t="s">
        <v>1432</v>
      </c>
      <c r="I175" s="57" t="s">
        <v>1430</v>
      </c>
      <c r="J175" s="57" t="s">
        <v>697</v>
      </c>
      <c r="K175" s="57" t="s">
        <v>697</v>
      </c>
      <c r="L175" s="57" t="s">
        <v>28</v>
      </c>
      <c r="M175" s="57" t="s">
        <v>1090</v>
      </c>
      <c r="N175" s="58">
        <v>2</v>
      </c>
      <c r="O175" s="56" t="s">
        <v>1200</v>
      </c>
      <c r="P175" s="56" t="s">
        <v>1201</v>
      </c>
      <c r="Q175" s="57" t="s">
        <v>700</v>
      </c>
      <c r="R175" s="177">
        <v>0.22</v>
      </c>
      <c r="S175" s="57" t="s">
        <v>61</v>
      </c>
      <c r="T175" s="57" t="s">
        <v>1433</v>
      </c>
      <c r="U175" s="57" t="s">
        <v>1434</v>
      </c>
      <c r="V175" s="57" t="s">
        <v>1357</v>
      </c>
      <c r="W175" s="57" t="s">
        <v>704</v>
      </c>
      <c r="X175" s="57" t="s">
        <v>734</v>
      </c>
      <c r="Y175" s="57" t="s">
        <v>705</v>
      </c>
      <c r="Z175" s="57" t="s">
        <v>706</v>
      </c>
      <c r="AA175" s="164">
        <v>76650</v>
      </c>
      <c r="AB175" s="178">
        <v>200000</v>
      </c>
      <c r="AC175" s="57" t="s">
        <v>716</v>
      </c>
      <c r="AD175" s="57" t="s">
        <v>716</v>
      </c>
      <c r="AE175" s="57" t="s">
        <v>716</v>
      </c>
      <c r="AF175" s="57" t="s">
        <v>716</v>
      </c>
      <c r="AG175" s="57" t="s">
        <v>716</v>
      </c>
      <c r="AH175" s="57" t="s">
        <v>716</v>
      </c>
      <c r="AI175" s="57" t="s">
        <v>716</v>
      </c>
      <c r="AJ175" s="57" t="s">
        <v>716</v>
      </c>
      <c r="AK175" s="57" t="s">
        <v>716</v>
      </c>
      <c r="AL175" s="57" t="s">
        <v>716</v>
      </c>
    </row>
    <row r="176" spans="1:38" x14ac:dyDescent="0.35">
      <c r="A176" s="175">
        <v>174</v>
      </c>
      <c r="B176" s="57" t="s">
        <v>1435</v>
      </c>
      <c r="C176" s="57" t="s">
        <v>1436</v>
      </c>
      <c r="D176" s="57" t="s">
        <v>1437</v>
      </c>
      <c r="E176" s="57" t="s">
        <v>1438</v>
      </c>
      <c r="F176" s="57" t="s">
        <v>697</v>
      </c>
      <c r="G176" s="57" t="s">
        <v>697</v>
      </c>
      <c r="H176" s="57" t="s">
        <v>1439</v>
      </c>
      <c r="I176" s="57" t="s">
        <v>1437</v>
      </c>
      <c r="J176" s="57" t="s">
        <v>697</v>
      </c>
      <c r="K176" s="57" t="s">
        <v>697</v>
      </c>
      <c r="L176" s="57" t="s">
        <v>28</v>
      </c>
      <c r="M176" s="57" t="s">
        <v>1440</v>
      </c>
      <c r="N176" s="58">
        <v>2</v>
      </c>
      <c r="O176" s="56" t="s">
        <v>1441</v>
      </c>
      <c r="P176" s="56" t="s">
        <v>1442</v>
      </c>
      <c r="Q176" s="57" t="s">
        <v>700</v>
      </c>
      <c r="R176" s="177">
        <v>300</v>
      </c>
      <c r="S176" s="57" t="s">
        <v>61</v>
      </c>
      <c r="T176" s="57" t="s">
        <v>816</v>
      </c>
      <c r="U176" s="57" t="s">
        <v>1443</v>
      </c>
      <c r="V176" s="57" t="s">
        <v>1357</v>
      </c>
      <c r="W176" s="57" t="s">
        <v>704</v>
      </c>
      <c r="X176" s="57" t="s">
        <v>734</v>
      </c>
      <c r="Y176" s="57" t="s">
        <v>725</v>
      </c>
      <c r="Z176" s="57" t="s">
        <v>706</v>
      </c>
      <c r="AA176" s="178">
        <v>229950</v>
      </c>
      <c r="AB176" s="178">
        <v>200000</v>
      </c>
      <c r="AC176" s="57" t="s">
        <v>716</v>
      </c>
      <c r="AD176" s="57" t="s">
        <v>716</v>
      </c>
      <c r="AE176" s="57" t="s">
        <v>716</v>
      </c>
      <c r="AF176" s="57" t="s">
        <v>716</v>
      </c>
      <c r="AG176" s="57" t="s">
        <v>716</v>
      </c>
      <c r="AH176" s="57" t="s">
        <v>716</v>
      </c>
      <c r="AI176" s="57" t="s">
        <v>716</v>
      </c>
      <c r="AJ176" s="57" t="s">
        <v>716</v>
      </c>
      <c r="AK176" s="57" t="s">
        <v>716</v>
      </c>
      <c r="AL176" s="57" t="s">
        <v>716</v>
      </c>
    </row>
    <row r="177" spans="1:38" x14ac:dyDescent="0.35">
      <c r="A177" s="175">
        <v>175</v>
      </c>
      <c r="B177" s="57" t="s">
        <v>1444</v>
      </c>
      <c r="C177" s="57" t="s">
        <v>1445</v>
      </c>
      <c r="D177" s="57" t="s">
        <v>1446</v>
      </c>
      <c r="E177" s="57" t="s">
        <v>697</v>
      </c>
      <c r="F177" s="57" t="s">
        <v>697</v>
      </c>
      <c r="G177" s="57" t="s">
        <v>697</v>
      </c>
      <c r="H177" s="57" t="s">
        <v>1447</v>
      </c>
      <c r="I177" s="57" t="s">
        <v>1448</v>
      </c>
      <c r="J177" s="57" t="s">
        <v>697</v>
      </c>
      <c r="K177" s="57" t="s">
        <v>697</v>
      </c>
      <c r="L177" s="57" t="s">
        <v>282</v>
      </c>
      <c r="M177" s="57" t="s">
        <v>1444</v>
      </c>
      <c r="N177" s="58">
        <v>2</v>
      </c>
      <c r="O177" s="56" t="s">
        <v>1200</v>
      </c>
      <c r="P177" s="56" t="s">
        <v>1201</v>
      </c>
      <c r="Q177" s="57" t="s">
        <v>700</v>
      </c>
      <c r="R177" s="177">
        <v>41.64</v>
      </c>
      <c r="S177" s="57" t="s">
        <v>61</v>
      </c>
      <c r="T177" s="57" t="s">
        <v>816</v>
      </c>
      <c r="U177" s="57" t="s">
        <v>1230</v>
      </c>
      <c r="V177" s="57" t="s">
        <v>1357</v>
      </c>
      <c r="W177" s="57" t="s">
        <v>704</v>
      </c>
      <c r="X177" s="57" t="s">
        <v>734</v>
      </c>
      <c r="Y177" s="57" t="s">
        <v>725</v>
      </c>
      <c r="Z177" s="57" t="s">
        <v>706</v>
      </c>
      <c r="AA177" s="164">
        <v>76650</v>
      </c>
      <c r="AB177" s="178">
        <v>200000</v>
      </c>
      <c r="AC177" s="57" t="s">
        <v>716</v>
      </c>
      <c r="AD177" s="57" t="s">
        <v>716</v>
      </c>
      <c r="AE177" s="57" t="s">
        <v>716</v>
      </c>
      <c r="AF177" s="57" t="s">
        <v>716</v>
      </c>
      <c r="AG177" s="57" t="s">
        <v>716</v>
      </c>
      <c r="AH177" s="57" t="s">
        <v>716</v>
      </c>
      <c r="AI177" s="57" t="s">
        <v>716</v>
      </c>
      <c r="AJ177" s="57" t="s">
        <v>716</v>
      </c>
      <c r="AK177" s="57" t="s">
        <v>716</v>
      </c>
      <c r="AL177" s="57" t="s">
        <v>716</v>
      </c>
    </row>
    <row r="178" spans="1:38" x14ac:dyDescent="0.35">
      <c r="A178" s="175">
        <v>176</v>
      </c>
      <c r="B178" s="57" t="s">
        <v>1449</v>
      </c>
      <c r="C178" s="57" t="s">
        <v>1450</v>
      </c>
      <c r="D178" s="57" t="s">
        <v>1451</v>
      </c>
      <c r="E178" s="57" t="s">
        <v>697</v>
      </c>
      <c r="F178" s="57" t="s">
        <v>697</v>
      </c>
      <c r="G178" s="57" t="s">
        <v>697</v>
      </c>
      <c r="H178" s="57" t="s">
        <v>1452</v>
      </c>
      <c r="I178" s="57" t="s">
        <v>949</v>
      </c>
      <c r="J178" s="57" t="s">
        <v>697</v>
      </c>
      <c r="K178" s="57" t="s">
        <v>697</v>
      </c>
      <c r="L178" s="57" t="s">
        <v>28</v>
      </c>
      <c r="M178" s="57" t="s">
        <v>1453</v>
      </c>
      <c r="N178" s="58">
        <v>1</v>
      </c>
      <c r="O178" s="56">
        <v>30235</v>
      </c>
      <c r="P178" s="56">
        <v>29901</v>
      </c>
      <c r="Q178" s="57" t="s">
        <v>700</v>
      </c>
      <c r="R178" s="177">
        <v>250</v>
      </c>
      <c r="S178" s="57" t="s">
        <v>61</v>
      </c>
      <c r="T178" s="57" t="s">
        <v>1454</v>
      </c>
      <c r="U178" s="57" t="s">
        <v>1443</v>
      </c>
      <c r="V178" s="57" t="s">
        <v>697</v>
      </c>
      <c r="W178" s="57" t="s">
        <v>704</v>
      </c>
      <c r="X178" s="57" t="s">
        <v>734</v>
      </c>
      <c r="Y178" s="57" t="s">
        <v>725</v>
      </c>
      <c r="Z178" s="57" t="s">
        <v>706</v>
      </c>
      <c r="AA178" s="178">
        <v>204400</v>
      </c>
      <c r="AB178" s="178">
        <v>200000</v>
      </c>
      <c r="AC178" s="57" t="s">
        <v>716</v>
      </c>
      <c r="AD178" s="57" t="s">
        <v>716</v>
      </c>
      <c r="AE178" s="57" t="s">
        <v>716</v>
      </c>
      <c r="AF178" s="57" t="s">
        <v>716</v>
      </c>
      <c r="AG178" s="57" t="s">
        <v>716</v>
      </c>
      <c r="AH178" s="57" t="s">
        <v>716</v>
      </c>
      <c r="AI178" s="57" t="s">
        <v>716</v>
      </c>
      <c r="AJ178" s="57" t="s">
        <v>716</v>
      </c>
      <c r="AK178" s="57" t="s">
        <v>716</v>
      </c>
      <c r="AL178" s="57" t="s">
        <v>716</v>
      </c>
    </row>
    <row r="179" spans="1:38" x14ac:dyDescent="0.35">
      <c r="A179" s="175">
        <v>177</v>
      </c>
      <c r="B179" s="57" t="s">
        <v>1455</v>
      </c>
      <c r="C179" s="57" t="s">
        <v>1456</v>
      </c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8"/>
      <c r="O179" s="56"/>
      <c r="P179" s="56"/>
      <c r="Q179" s="57"/>
      <c r="R179" s="177"/>
      <c r="S179" s="57"/>
      <c r="T179" s="57"/>
      <c r="U179" s="57"/>
      <c r="V179" s="57"/>
      <c r="W179" s="57"/>
      <c r="X179" s="57"/>
      <c r="Y179" s="57"/>
      <c r="Z179" s="57"/>
      <c r="AA179" s="178">
        <v>0</v>
      </c>
      <c r="AB179" s="178">
        <v>0</v>
      </c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</row>
    <row r="180" spans="1:38" ht="203" x14ac:dyDescent="0.35">
      <c r="A180" s="175">
        <v>178</v>
      </c>
      <c r="B180" s="57" t="s">
        <v>1457</v>
      </c>
      <c r="C180" s="176" t="s">
        <v>1458</v>
      </c>
      <c r="D180" s="57" t="s">
        <v>61</v>
      </c>
      <c r="E180" s="57" t="s">
        <v>61</v>
      </c>
      <c r="F180" s="57" t="s">
        <v>61</v>
      </c>
      <c r="G180" s="57" t="s">
        <v>61</v>
      </c>
      <c r="H180" s="57" t="s">
        <v>61</v>
      </c>
      <c r="I180" s="57" t="s">
        <v>61</v>
      </c>
      <c r="J180" s="57" t="s">
        <v>61</v>
      </c>
      <c r="K180" s="57" t="s">
        <v>61</v>
      </c>
      <c r="L180" s="57" t="s">
        <v>61</v>
      </c>
      <c r="M180" s="57" t="s">
        <v>61</v>
      </c>
      <c r="N180" s="57" t="s">
        <v>61</v>
      </c>
      <c r="O180" s="57" t="s">
        <v>61</v>
      </c>
      <c r="P180" s="57" t="s">
        <v>61</v>
      </c>
      <c r="Q180" s="57" t="s">
        <v>61</v>
      </c>
      <c r="R180" s="57" t="s">
        <v>61</v>
      </c>
      <c r="S180" s="57" t="s">
        <v>61</v>
      </c>
      <c r="T180" s="57" t="s">
        <v>61</v>
      </c>
      <c r="U180" s="57" t="s">
        <v>61</v>
      </c>
      <c r="V180" s="57" t="s">
        <v>61</v>
      </c>
      <c r="W180" s="57" t="s">
        <v>61</v>
      </c>
      <c r="X180" s="57" t="s">
        <v>61</v>
      </c>
      <c r="Y180" s="57" t="s">
        <v>61</v>
      </c>
      <c r="Z180" s="57" t="s">
        <v>61</v>
      </c>
      <c r="AA180" s="178">
        <v>0</v>
      </c>
      <c r="AB180" s="178">
        <v>0</v>
      </c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</row>
    <row r="181" spans="1:38" x14ac:dyDescent="0.35">
      <c r="A181" s="175">
        <v>179</v>
      </c>
      <c r="B181" s="57" t="s">
        <v>1459</v>
      </c>
      <c r="C181" s="57" t="s">
        <v>1460</v>
      </c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8"/>
      <c r="O181" s="56"/>
      <c r="P181" s="56"/>
      <c r="Q181" s="57"/>
      <c r="R181" s="177"/>
      <c r="S181" s="57"/>
      <c r="T181" s="57"/>
      <c r="U181" s="57"/>
      <c r="V181" s="57"/>
      <c r="W181" s="57"/>
      <c r="X181" s="57"/>
      <c r="Y181" s="57"/>
      <c r="Z181" s="57"/>
      <c r="AA181" s="178">
        <v>0</v>
      </c>
      <c r="AB181" s="178">
        <v>0</v>
      </c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</row>
    <row r="182" spans="1:38" x14ac:dyDescent="0.35">
      <c r="A182" s="175">
        <v>180</v>
      </c>
      <c r="B182" s="57" t="s">
        <v>1461</v>
      </c>
      <c r="C182" s="57" t="s">
        <v>1462</v>
      </c>
      <c r="D182" s="57" t="s">
        <v>697</v>
      </c>
      <c r="E182" s="57" t="s">
        <v>697</v>
      </c>
      <c r="F182" s="57" t="s">
        <v>697</v>
      </c>
      <c r="G182" s="57" t="s">
        <v>697</v>
      </c>
      <c r="H182" s="57" t="s">
        <v>1463</v>
      </c>
      <c r="I182" s="57" t="s">
        <v>28</v>
      </c>
      <c r="J182" s="57" t="s">
        <v>697</v>
      </c>
      <c r="K182" s="57" t="s">
        <v>697</v>
      </c>
      <c r="L182" s="57" t="s">
        <v>28</v>
      </c>
      <c r="M182" s="57" t="s">
        <v>1464</v>
      </c>
      <c r="N182" s="58">
        <v>2</v>
      </c>
      <c r="O182" s="161" t="s">
        <v>1366</v>
      </c>
      <c r="P182" s="161" t="s">
        <v>1367</v>
      </c>
      <c r="Q182" s="57" t="s">
        <v>700</v>
      </c>
      <c r="R182" s="177" t="s">
        <v>1465</v>
      </c>
      <c r="S182" s="57" t="s">
        <v>697</v>
      </c>
      <c r="T182" s="57" t="s">
        <v>1215</v>
      </c>
      <c r="U182" s="57" t="s">
        <v>1466</v>
      </c>
      <c r="V182" s="57" t="s">
        <v>1152</v>
      </c>
      <c r="W182" s="57" t="s">
        <v>704</v>
      </c>
      <c r="X182" s="57" t="s">
        <v>697</v>
      </c>
      <c r="Y182" s="57" t="s">
        <v>705</v>
      </c>
      <c r="Z182" s="57" t="s">
        <v>706</v>
      </c>
      <c r="AA182" s="164">
        <v>76650</v>
      </c>
      <c r="AB182" s="178">
        <v>200000</v>
      </c>
      <c r="AC182" s="57" t="s">
        <v>716</v>
      </c>
      <c r="AD182" s="57" t="s">
        <v>716</v>
      </c>
      <c r="AE182" s="57" t="s">
        <v>716</v>
      </c>
      <c r="AF182" s="57" t="s">
        <v>716</v>
      </c>
      <c r="AG182" s="57" t="s">
        <v>716</v>
      </c>
      <c r="AH182" s="57" t="s">
        <v>716</v>
      </c>
      <c r="AI182" s="57" t="s">
        <v>716</v>
      </c>
      <c r="AJ182" s="57" t="s">
        <v>716</v>
      </c>
      <c r="AK182" s="57" t="s">
        <v>716</v>
      </c>
      <c r="AL182" s="57" t="s">
        <v>716</v>
      </c>
    </row>
    <row r="183" spans="1:38" x14ac:dyDescent="0.35">
      <c r="A183" s="175">
        <v>181</v>
      </c>
      <c r="B183" s="57" t="s">
        <v>1467</v>
      </c>
      <c r="C183" s="57" t="s">
        <v>1468</v>
      </c>
      <c r="D183" s="57" t="s">
        <v>697</v>
      </c>
      <c r="E183" s="57" t="s">
        <v>697</v>
      </c>
      <c r="F183" s="57" t="s">
        <v>697</v>
      </c>
      <c r="G183" s="57" t="s">
        <v>697</v>
      </c>
      <c r="H183" s="57" t="s">
        <v>1469</v>
      </c>
      <c r="I183" s="57" t="s">
        <v>1470</v>
      </c>
      <c r="J183" s="57" t="s">
        <v>697</v>
      </c>
      <c r="K183" s="57" t="s">
        <v>697</v>
      </c>
      <c r="L183" s="57" t="s">
        <v>18</v>
      </c>
      <c r="M183" s="57" t="s">
        <v>1471</v>
      </c>
      <c r="N183" s="58">
        <v>2</v>
      </c>
      <c r="O183" s="161" t="s">
        <v>1472</v>
      </c>
      <c r="P183" s="161" t="s">
        <v>1473</v>
      </c>
      <c r="Q183" s="57" t="s">
        <v>700</v>
      </c>
      <c r="R183" s="177" t="s">
        <v>697</v>
      </c>
      <c r="S183" s="57" t="s">
        <v>1412</v>
      </c>
      <c r="T183" s="57" t="s">
        <v>945</v>
      </c>
      <c r="U183" s="57" t="s">
        <v>833</v>
      </c>
      <c r="V183" s="57" t="s">
        <v>1182</v>
      </c>
      <c r="W183" s="57" t="s">
        <v>704</v>
      </c>
      <c r="X183" s="57" t="s">
        <v>61</v>
      </c>
      <c r="Y183" s="57" t="s">
        <v>705</v>
      </c>
      <c r="Z183" s="57" t="s">
        <v>706</v>
      </c>
      <c r="AA183" s="164">
        <v>76650</v>
      </c>
      <c r="AB183" s="178">
        <v>200000</v>
      </c>
      <c r="AC183" s="57" t="s">
        <v>716</v>
      </c>
      <c r="AD183" s="57" t="s">
        <v>716</v>
      </c>
      <c r="AE183" s="57" t="s">
        <v>716</v>
      </c>
      <c r="AF183" s="57" t="s">
        <v>716</v>
      </c>
      <c r="AG183" s="57" t="s">
        <v>716</v>
      </c>
      <c r="AH183" s="57" t="s">
        <v>716</v>
      </c>
      <c r="AI183" s="57" t="s">
        <v>716</v>
      </c>
      <c r="AJ183" s="57" t="s">
        <v>716</v>
      </c>
      <c r="AK183" s="57" t="s">
        <v>716</v>
      </c>
      <c r="AL183" s="57" t="s">
        <v>716</v>
      </c>
    </row>
    <row r="184" spans="1:38" x14ac:dyDescent="0.35">
      <c r="A184" s="175">
        <v>182</v>
      </c>
      <c r="B184" s="57" t="s">
        <v>1474</v>
      </c>
      <c r="C184" s="57" t="s">
        <v>1475</v>
      </c>
      <c r="D184" s="57" t="s">
        <v>697</v>
      </c>
      <c r="E184" s="57" t="s">
        <v>697</v>
      </c>
      <c r="F184" s="57" t="s">
        <v>697</v>
      </c>
      <c r="G184" s="57" t="s">
        <v>697</v>
      </c>
      <c r="H184" s="57" t="s">
        <v>1476</v>
      </c>
      <c r="I184" s="57" t="s">
        <v>35</v>
      </c>
      <c r="J184" s="57" t="s">
        <v>697</v>
      </c>
      <c r="K184" s="57" t="s">
        <v>697</v>
      </c>
      <c r="L184" s="57" t="s">
        <v>35</v>
      </c>
      <c r="M184" s="57" t="s">
        <v>1477</v>
      </c>
      <c r="N184" s="58">
        <v>2</v>
      </c>
      <c r="O184" s="56">
        <v>30235</v>
      </c>
      <c r="P184" s="56">
        <v>29901</v>
      </c>
      <c r="Q184" s="57" t="s">
        <v>700</v>
      </c>
      <c r="R184" s="177" t="s">
        <v>697</v>
      </c>
      <c r="S184" s="57" t="s">
        <v>697</v>
      </c>
      <c r="T184" s="57" t="s">
        <v>1478</v>
      </c>
      <c r="U184" s="57" t="s">
        <v>1093</v>
      </c>
      <c r="V184" s="57" t="s">
        <v>1182</v>
      </c>
      <c r="W184" s="57" t="s">
        <v>704</v>
      </c>
      <c r="X184" s="57" t="s">
        <v>61</v>
      </c>
      <c r="Y184" s="57" t="s">
        <v>705</v>
      </c>
      <c r="Z184" s="57" t="s">
        <v>706</v>
      </c>
      <c r="AA184" s="178">
        <v>76650</v>
      </c>
      <c r="AB184" s="178">
        <v>200000</v>
      </c>
      <c r="AC184" s="57" t="s">
        <v>716</v>
      </c>
      <c r="AD184" s="57" t="s">
        <v>716</v>
      </c>
      <c r="AE184" s="57" t="s">
        <v>716</v>
      </c>
      <c r="AF184" s="57" t="s">
        <v>716</v>
      </c>
      <c r="AG184" s="57" t="s">
        <v>716</v>
      </c>
      <c r="AH184" s="57" t="s">
        <v>716</v>
      </c>
      <c r="AI184" s="57" t="s">
        <v>716</v>
      </c>
      <c r="AJ184" s="57" t="s">
        <v>716</v>
      </c>
      <c r="AK184" s="57" t="s">
        <v>716</v>
      </c>
      <c r="AL184" s="57" t="s">
        <v>716</v>
      </c>
    </row>
    <row r="185" spans="1:38" x14ac:dyDescent="0.35">
      <c r="A185" s="175">
        <v>183</v>
      </c>
      <c r="B185" s="57" t="s">
        <v>1479</v>
      </c>
      <c r="C185" s="57" t="s">
        <v>1480</v>
      </c>
      <c r="D185" s="57" t="s">
        <v>1481</v>
      </c>
      <c r="E185" s="57" t="s">
        <v>697</v>
      </c>
      <c r="F185" s="57" t="s">
        <v>697</v>
      </c>
      <c r="G185" s="57" t="s">
        <v>697</v>
      </c>
      <c r="H185" s="57" t="s">
        <v>1482</v>
      </c>
      <c r="I185" s="57" t="s">
        <v>28</v>
      </c>
      <c r="J185" s="57" t="s">
        <v>697</v>
      </c>
      <c r="K185" s="57" t="s">
        <v>697</v>
      </c>
      <c r="L185" s="57" t="s">
        <v>28</v>
      </c>
      <c r="M185" s="57" t="s">
        <v>1483</v>
      </c>
      <c r="N185" s="58">
        <v>2</v>
      </c>
      <c r="O185" s="56" t="s">
        <v>1484</v>
      </c>
      <c r="P185" s="56">
        <v>32881</v>
      </c>
      <c r="Q185" s="57" t="s">
        <v>700</v>
      </c>
      <c r="R185" s="177">
        <v>0.5</v>
      </c>
      <c r="S185" s="57" t="s">
        <v>663</v>
      </c>
      <c r="T185" s="57" t="s">
        <v>945</v>
      </c>
      <c r="U185" s="57" t="s">
        <v>1152</v>
      </c>
      <c r="V185" s="57" t="s">
        <v>1182</v>
      </c>
      <c r="W185" s="57" t="s">
        <v>704</v>
      </c>
      <c r="X185" s="57" t="s">
        <v>61</v>
      </c>
      <c r="Y185" s="57" t="s">
        <v>705</v>
      </c>
      <c r="Z185" s="57" t="s">
        <v>706</v>
      </c>
      <c r="AA185" s="178" t="s">
        <v>697</v>
      </c>
      <c r="AB185" s="178" t="s">
        <v>697</v>
      </c>
      <c r="AC185" s="57" t="s">
        <v>716</v>
      </c>
      <c r="AD185" s="57" t="s">
        <v>716</v>
      </c>
      <c r="AE185" s="57" t="s">
        <v>716</v>
      </c>
      <c r="AF185" s="57" t="s">
        <v>716</v>
      </c>
      <c r="AG185" s="57" t="s">
        <v>716</v>
      </c>
      <c r="AH185" s="57" t="s">
        <v>716</v>
      </c>
      <c r="AI185" s="57" t="s">
        <v>716</v>
      </c>
      <c r="AJ185" s="57" t="s">
        <v>716</v>
      </c>
      <c r="AK185" s="57" t="s">
        <v>716</v>
      </c>
      <c r="AL185" s="57" t="s">
        <v>716</v>
      </c>
    </row>
    <row r="186" spans="1:38" x14ac:dyDescent="0.35">
      <c r="A186" s="175">
        <v>184</v>
      </c>
      <c r="B186" s="57" t="s">
        <v>1485</v>
      </c>
      <c r="C186" s="57" t="s">
        <v>1486</v>
      </c>
      <c r="D186" s="57" t="s">
        <v>1487</v>
      </c>
      <c r="E186" s="57" t="s">
        <v>697</v>
      </c>
      <c r="F186" s="57" t="s">
        <v>697</v>
      </c>
      <c r="G186" s="57" t="s">
        <v>697</v>
      </c>
      <c r="H186" s="57" t="s">
        <v>1488</v>
      </c>
      <c r="I186" s="57" t="s">
        <v>1489</v>
      </c>
      <c r="J186" s="57" t="s">
        <v>697</v>
      </c>
      <c r="K186" s="57" t="s">
        <v>697</v>
      </c>
      <c r="L186" s="57" t="s">
        <v>18</v>
      </c>
      <c r="M186" s="57" t="s">
        <v>1490</v>
      </c>
      <c r="N186" s="58">
        <v>2</v>
      </c>
      <c r="O186" s="161" t="s">
        <v>1366</v>
      </c>
      <c r="P186" s="161" t="s">
        <v>1367</v>
      </c>
      <c r="Q186" s="57" t="s">
        <v>700</v>
      </c>
      <c r="R186" s="177">
        <v>45.46</v>
      </c>
      <c r="S186" s="57" t="s">
        <v>1215</v>
      </c>
      <c r="T186" s="57" t="s">
        <v>1215</v>
      </c>
      <c r="U186" s="57" t="s">
        <v>1491</v>
      </c>
      <c r="V186" s="57" t="s">
        <v>1182</v>
      </c>
      <c r="W186" s="57" t="s">
        <v>704</v>
      </c>
      <c r="X186" s="57" t="s">
        <v>61</v>
      </c>
      <c r="Y186" s="57" t="s">
        <v>705</v>
      </c>
      <c r="Z186" s="57" t="s">
        <v>706</v>
      </c>
      <c r="AA186" s="178">
        <v>76650</v>
      </c>
      <c r="AB186" s="178">
        <v>200000</v>
      </c>
      <c r="AC186" s="57" t="s">
        <v>716</v>
      </c>
      <c r="AD186" s="57" t="s">
        <v>716</v>
      </c>
      <c r="AE186" s="57" t="s">
        <v>716</v>
      </c>
      <c r="AF186" s="57" t="s">
        <v>716</v>
      </c>
      <c r="AG186" s="57" t="s">
        <v>716</v>
      </c>
      <c r="AH186" s="57" t="s">
        <v>716</v>
      </c>
      <c r="AI186" s="57" t="s">
        <v>716</v>
      </c>
      <c r="AJ186" s="57" t="s">
        <v>716</v>
      </c>
      <c r="AK186" s="57" t="s">
        <v>716</v>
      </c>
      <c r="AL186" s="57" t="s">
        <v>716</v>
      </c>
    </row>
    <row r="187" spans="1:38" x14ac:dyDescent="0.35">
      <c r="A187" s="175">
        <v>185</v>
      </c>
      <c r="B187" s="57" t="s">
        <v>1485</v>
      </c>
      <c r="C187" s="57" t="s">
        <v>1492</v>
      </c>
      <c r="D187" s="57" t="s">
        <v>1493</v>
      </c>
      <c r="E187" s="57" t="s">
        <v>697</v>
      </c>
      <c r="F187" s="57" t="s">
        <v>697</v>
      </c>
      <c r="G187" s="57" t="s">
        <v>697</v>
      </c>
      <c r="H187" s="57" t="s">
        <v>1494</v>
      </c>
      <c r="I187" s="57" t="s">
        <v>1495</v>
      </c>
      <c r="J187" s="57" t="s">
        <v>697</v>
      </c>
      <c r="K187" s="57" t="s">
        <v>697</v>
      </c>
      <c r="L187" t="s">
        <v>767</v>
      </c>
      <c r="M187" s="57" t="s">
        <v>1496</v>
      </c>
      <c r="N187" s="58">
        <v>2</v>
      </c>
      <c r="O187" s="161" t="s">
        <v>1366</v>
      </c>
      <c r="P187" s="161" t="s">
        <v>1367</v>
      </c>
      <c r="Q187" s="57" t="s">
        <v>700</v>
      </c>
      <c r="R187" s="177">
        <v>90.92</v>
      </c>
      <c r="S187" s="57" t="s">
        <v>1215</v>
      </c>
      <c r="T187" s="57" t="s">
        <v>1215</v>
      </c>
      <c r="U187" s="57" t="s">
        <v>1491</v>
      </c>
      <c r="V187" s="57" t="s">
        <v>1182</v>
      </c>
      <c r="W187" s="57" t="s">
        <v>704</v>
      </c>
      <c r="X187" s="57" t="s">
        <v>61</v>
      </c>
      <c r="Y187" s="57" t="s">
        <v>705</v>
      </c>
      <c r="Z187" s="57" t="s">
        <v>706</v>
      </c>
      <c r="AA187" s="178">
        <v>99013.915000000008</v>
      </c>
      <c r="AB187" s="178">
        <v>200000</v>
      </c>
      <c r="AC187" s="57" t="s">
        <v>716</v>
      </c>
      <c r="AD187" s="57" t="s">
        <v>716</v>
      </c>
      <c r="AE187" s="57" t="s">
        <v>716</v>
      </c>
      <c r="AF187" s="57" t="s">
        <v>716</v>
      </c>
      <c r="AG187" s="57" t="s">
        <v>716</v>
      </c>
      <c r="AH187" s="57" t="s">
        <v>716</v>
      </c>
      <c r="AI187" s="57" t="s">
        <v>716</v>
      </c>
      <c r="AJ187" s="57" t="s">
        <v>716</v>
      </c>
      <c r="AK187" s="57" t="s">
        <v>716</v>
      </c>
      <c r="AL187" s="57" t="s">
        <v>716</v>
      </c>
    </row>
    <row r="188" spans="1:38" x14ac:dyDescent="0.35">
      <c r="A188" s="175">
        <v>186</v>
      </c>
      <c r="B188" s="57" t="s">
        <v>1497</v>
      </c>
      <c r="C188" s="57" t="s">
        <v>1498</v>
      </c>
      <c r="D188" s="57" t="s">
        <v>1499</v>
      </c>
      <c r="E188" s="57" t="s">
        <v>697</v>
      </c>
      <c r="F188" s="57" t="s">
        <v>697</v>
      </c>
      <c r="G188" s="57" t="s">
        <v>697</v>
      </c>
      <c r="H188" s="57" t="s">
        <v>1500</v>
      </c>
      <c r="I188" s="57" t="s">
        <v>1501</v>
      </c>
      <c r="J188" s="57" t="s">
        <v>697</v>
      </c>
      <c r="K188" s="57" t="s">
        <v>697</v>
      </c>
      <c r="L188" s="57" t="s">
        <v>561</v>
      </c>
      <c r="M188" s="57" t="s">
        <v>1502</v>
      </c>
      <c r="N188" s="58">
        <v>2</v>
      </c>
      <c r="O188" s="56">
        <v>36689</v>
      </c>
      <c r="P188" s="56">
        <v>35988</v>
      </c>
      <c r="Q188" s="57" t="s">
        <v>700</v>
      </c>
      <c r="R188" s="177">
        <v>200</v>
      </c>
      <c r="S188" s="57" t="s">
        <v>1215</v>
      </c>
      <c r="T188" s="57" t="s">
        <v>1215</v>
      </c>
      <c r="U188" s="57" t="s">
        <v>1503</v>
      </c>
      <c r="V188" s="57" t="s">
        <v>1182</v>
      </c>
      <c r="W188" s="57" t="s">
        <v>704</v>
      </c>
      <c r="X188" s="57" t="s">
        <v>61</v>
      </c>
      <c r="Y188" s="57" t="s">
        <v>725</v>
      </c>
      <c r="Z188" s="57" t="s">
        <v>706</v>
      </c>
      <c r="AA188" s="178">
        <v>163945.83333333334</v>
      </c>
      <c r="AB188" s="178">
        <v>200000</v>
      </c>
      <c r="AC188" s="57" t="s">
        <v>716</v>
      </c>
      <c r="AD188" s="57" t="s">
        <v>716</v>
      </c>
      <c r="AE188" s="57" t="s">
        <v>716</v>
      </c>
      <c r="AF188" s="57" t="s">
        <v>716</v>
      </c>
      <c r="AG188" s="57" t="s">
        <v>716</v>
      </c>
      <c r="AH188" s="57" t="s">
        <v>716</v>
      </c>
      <c r="AI188" s="57" t="s">
        <v>716</v>
      </c>
      <c r="AJ188" s="57" t="s">
        <v>716</v>
      </c>
      <c r="AK188" s="57" t="s">
        <v>716</v>
      </c>
      <c r="AL188" s="57" t="s">
        <v>716</v>
      </c>
    </row>
    <row r="189" spans="1:38" x14ac:dyDescent="0.35">
      <c r="A189" s="175">
        <v>187</v>
      </c>
      <c r="B189" s="57" t="s">
        <v>1504</v>
      </c>
      <c r="C189" s="57" t="s">
        <v>1505</v>
      </c>
      <c r="D189" s="57" t="s">
        <v>697</v>
      </c>
      <c r="E189" s="57" t="s">
        <v>61</v>
      </c>
      <c r="F189" s="57" t="s">
        <v>61</v>
      </c>
      <c r="G189" s="57" t="s">
        <v>61</v>
      </c>
      <c r="H189" s="57" t="s">
        <v>61</v>
      </c>
      <c r="I189" s="57" t="s">
        <v>61</v>
      </c>
      <c r="J189" s="57" t="s">
        <v>61</v>
      </c>
      <c r="K189" s="57" t="s">
        <v>61</v>
      </c>
      <c r="L189" s="57" t="s">
        <v>61</v>
      </c>
      <c r="M189" s="57" t="s">
        <v>61</v>
      </c>
      <c r="N189" s="57" t="s">
        <v>61</v>
      </c>
      <c r="O189" s="57" t="s">
        <v>61</v>
      </c>
      <c r="P189" s="57" t="s">
        <v>61</v>
      </c>
      <c r="Q189" s="57" t="s">
        <v>61</v>
      </c>
      <c r="R189" s="57" t="s">
        <v>61</v>
      </c>
      <c r="S189" s="57" t="s">
        <v>61</v>
      </c>
      <c r="T189" s="57" t="s">
        <v>61</v>
      </c>
      <c r="U189" s="57" t="s">
        <v>61</v>
      </c>
      <c r="V189" s="57" t="s">
        <v>61</v>
      </c>
      <c r="W189" s="57" t="s">
        <v>61</v>
      </c>
      <c r="X189" s="57" t="s">
        <v>61</v>
      </c>
      <c r="Y189" s="57" t="s">
        <v>61</v>
      </c>
      <c r="Z189" s="57" t="s">
        <v>61</v>
      </c>
      <c r="AA189" s="178">
        <v>0</v>
      </c>
      <c r="AB189" s="178">
        <v>0</v>
      </c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</row>
    <row r="190" spans="1:38" x14ac:dyDescent="0.35">
      <c r="A190" s="175">
        <v>188</v>
      </c>
      <c r="B190" s="57" t="s">
        <v>1506</v>
      </c>
      <c r="C190" s="57" t="s">
        <v>1507</v>
      </c>
      <c r="D190" s="57" t="s">
        <v>1508</v>
      </c>
      <c r="E190" s="57" t="s">
        <v>1509</v>
      </c>
      <c r="F190" s="57"/>
      <c r="G190" s="57"/>
      <c r="H190" s="57"/>
      <c r="I190" s="57"/>
      <c r="J190" s="57"/>
      <c r="K190" s="57"/>
      <c r="L190" s="57"/>
      <c r="M190" s="57"/>
      <c r="N190" s="58"/>
      <c r="O190" s="56"/>
      <c r="P190" s="56"/>
      <c r="Q190" s="57"/>
      <c r="R190" s="177"/>
      <c r="S190" s="57"/>
      <c r="T190" s="57"/>
      <c r="U190" s="57"/>
      <c r="V190" s="57"/>
      <c r="W190" s="57"/>
      <c r="X190" s="57"/>
      <c r="Y190" s="57"/>
      <c r="Z190" s="57"/>
      <c r="AA190" s="178">
        <v>0</v>
      </c>
      <c r="AB190" s="178">
        <v>0</v>
      </c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</row>
    <row r="191" spans="1:38" ht="29" x14ac:dyDescent="0.35">
      <c r="A191" s="175">
        <v>189</v>
      </c>
      <c r="B191" s="54" t="s">
        <v>1510</v>
      </c>
      <c r="C191" s="176" t="s">
        <v>1511</v>
      </c>
      <c r="D191" s="57" t="s">
        <v>1512</v>
      </c>
      <c r="E191" s="57" t="s">
        <v>697</v>
      </c>
      <c r="F191" s="57" t="s">
        <v>697</v>
      </c>
      <c r="G191" s="57" t="s">
        <v>697</v>
      </c>
      <c r="H191" s="57" t="s">
        <v>1513</v>
      </c>
      <c r="I191" s="57" t="s">
        <v>1512</v>
      </c>
      <c r="J191" s="57" t="s">
        <v>697</v>
      </c>
      <c r="K191" s="57" t="s">
        <v>697</v>
      </c>
      <c r="L191" s="57" t="s">
        <v>28</v>
      </c>
      <c r="M191" s="57" t="s">
        <v>1514</v>
      </c>
      <c r="N191" s="58">
        <v>2</v>
      </c>
      <c r="O191" s="56">
        <v>35958</v>
      </c>
      <c r="P191" s="56">
        <v>35258</v>
      </c>
      <c r="Q191" s="57" t="s">
        <v>700</v>
      </c>
      <c r="R191" s="177">
        <v>0.32300000000000001</v>
      </c>
      <c r="S191" s="57" t="s">
        <v>1215</v>
      </c>
      <c r="T191" s="57" t="s">
        <v>1215</v>
      </c>
      <c r="U191" s="57" t="s">
        <v>1443</v>
      </c>
      <c r="V191" s="57" t="s">
        <v>1182</v>
      </c>
      <c r="W191" s="57" t="s">
        <v>704</v>
      </c>
      <c r="X191" s="57" t="s">
        <v>734</v>
      </c>
      <c r="Y191" s="57" t="s">
        <v>705</v>
      </c>
      <c r="Z191" s="57" t="s">
        <v>706</v>
      </c>
      <c r="AA191" s="178">
        <v>76650</v>
      </c>
      <c r="AB191" s="178">
        <v>200000</v>
      </c>
      <c r="AC191" s="57" t="s">
        <v>716</v>
      </c>
      <c r="AD191" s="57" t="s">
        <v>716</v>
      </c>
      <c r="AE191" s="57" t="s">
        <v>716</v>
      </c>
      <c r="AF191" s="57" t="s">
        <v>716</v>
      </c>
      <c r="AG191" s="57" t="s">
        <v>716</v>
      </c>
      <c r="AH191" s="57" t="s">
        <v>716</v>
      </c>
      <c r="AI191" s="57" t="s">
        <v>716</v>
      </c>
      <c r="AJ191" s="57" t="s">
        <v>716</v>
      </c>
      <c r="AK191" s="57" t="s">
        <v>716</v>
      </c>
      <c r="AL191" s="57" t="s">
        <v>716</v>
      </c>
    </row>
    <row r="192" spans="1:38" ht="29" x14ac:dyDescent="0.35">
      <c r="A192" s="175">
        <v>190</v>
      </c>
      <c r="B192" s="54" t="s">
        <v>1510</v>
      </c>
      <c r="C192" s="176" t="s">
        <v>1511</v>
      </c>
      <c r="D192" s="57" t="s">
        <v>1515</v>
      </c>
      <c r="E192" s="57" t="s">
        <v>697</v>
      </c>
      <c r="F192" s="57" t="s">
        <v>697</v>
      </c>
      <c r="G192" s="57" t="s">
        <v>697</v>
      </c>
      <c r="H192" s="57" t="s">
        <v>1513</v>
      </c>
      <c r="I192" s="57" t="s">
        <v>1516</v>
      </c>
      <c r="J192" s="57" t="s">
        <v>697</v>
      </c>
      <c r="K192" s="57" t="s">
        <v>697</v>
      </c>
      <c r="L192" s="57" t="s">
        <v>1392</v>
      </c>
      <c r="M192" s="57" t="s">
        <v>1517</v>
      </c>
      <c r="N192" s="58">
        <v>2</v>
      </c>
      <c r="O192" s="56" t="s">
        <v>1518</v>
      </c>
      <c r="P192" s="56" t="s">
        <v>1519</v>
      </c>
      <c r="Q192" s="57" t="s">
        <v>700</v>
      </c>
      <c r="R192" s="177">
        <v>14.5</v>
      </c>
      <c r="S192" s="57" t="s">
        <v>61</v>
      </c>
      <c r="T192" s="57" t="s">
        <v>1229</v>
      </c>
      <c r="U192" s="57" t="s">
        <v>1443</v>
      </c>
      <c r="V192" s="57" t="s">
        <v>1357</v>
      </c>
      <c r="W192" s="57" t="s">
        <v>704</v>
      </c>
      <c r="X192" s="57" t="s">
        <v>734</v>
      </c>
      <c r="Y192" s="57" t="s">
        <v>725</v>
      </c>
      <c r="Z192" s="57" t="s">
        <v>706</v>
      </c>
      <c r="AA192" s="178">
        <v>76650</v>
      </c>
      <c r="AB192" s="178">
        <v>200000</v>
      </c>
      <c r="AC192" s="57" t="s">
        <v>716</v>
      </c>
      <c r="AD192" s="57" t="s">
        <v>716</v>
      </c>
      <c r="AE192" s="57" t="s">
        <v>716</v>
      </c>
      <c r="AF192" s="57" t="s">
        <v>716</v>
      </c>
      <c r="AG192" s="57" t="s">
        <v>716</v>
      </c>
      <c r="AH192" s="57" t="s">
        <v>716</v>
      </c>
      <c r="AI192" s="57" t="s">
        <v>716</v>
      </c>
      <c r="AJ192" s="57" t="s">
        <v>716</v>
      </c>
      <c r="AK192" s="57" t="s">
        <v>716</v>
      </c>
      <c r="AL192" s="57" t="s">
        <v>716</v>
      </c>
    </row>
    <row r="193" spans="1:38" ht="29" x14ac:dyDescent="0.35">
      <c r="A193" s="175">
        <v>191</v>
      </c>
      <c r="B193" s="54" t="s">
        <v>1510</v>
      </c>
      <c r="C193" s="176" t="s">
        <v>1511</v>
      </c>
      <c r="D193" s="57" t="s">
        <v>1520</v>
      </c>
      <c r="E193" s="57" t="s">
        <v>697</v>
      </c>
      <c r="F193" s="57" t="s">
        <v>697</v>
      </c>
      <c r="G193" s="57" t="s">
        <v>697</v>
      </c>
      <c r="H193" s="57" t="s">
        <v>1513</v>
      </c>
      <c r="I193" s="57" t="s">
        <v>1521</v>
      </c>
      <c r="J193" s="57" t="s">
        <v>697</v>
      </c>
      <c r="K193" s="57" t="s">
        <v>697</v>
      </c>
      <c r="L193" s="57" t="s">
        <v>35</v>
      </c>
      <c r="M193" s="57" t="s">
        <v>1522</v>
      </c>
      <c r="N193" s="58">
        <v>2</v>
      </c>
      <c r="O193" s="56" t="s">
        <v>1518</v>
      </c>
      <c r="P193" s="56" t="s">
        <v>1519</v>
      </c>
      <c r="Q193" s="57" t="s">
        <v>700</v>
      </c>
      <c r="R193" s="177">
        <v>17</v>
      </c>
      <c r="S193" s="57" t="s">
        <v>61</v>
      </c>
      <c r="T193" s="57" t="s">
        <v>1229</v>
      </c>
      <c r="U193" s="57" t="s">
        <v>1443</v>
      </c>
      <c r="V193" s="57" t="s">
        <v>1357</v>
      </c>
      <c r="W193" s="57" t="s">
        <v>704</v>
      </c>
      <c r="X193" s="57" t="s">
        <v>734</v>
      </c>
      <c r="Y193" s="57" t="s">
        <v>725</v>
      </c>
      <c r="Z193" s="57" t="s">
        <v>706</v>
      </c>
      <c r="AA193" s="178">
        <v>76650</v>
      </c>
      <c r="AB193" s="178">
        <v>200000</v>
      </c>
      <c r="AC193" s="57" t="s">
        <v>716</v>
      </c>
      <c r="AD193" s="57" t="s">
        <v>716</v>
      </c>
      <c r="AE193" s="57" t="s">
        <v>716</v>
      </c>
      <c r="AF193" s="57" t="s">
        <v>716</v>
      </c>
      <c r="AG193" s="57" t="s">
        <v>716</v>
      </c>
      <c r="AH193" s="57" t="s">
        <v>716</v>
      </c>
      <c r="AI193" s="57" t="s">
        <v>716</v>
      </c>
      <c r="AJ193" s="57" t="s">
        <v>716</v>
      </c>
      <c r="AK193" s="57" t="s">
        <v>716</v>
      </c>
      <c r="AL193" s="57" t="s">
        <v>716</v>
      </c>
    </row>
    <row r="194" spans="1:38" x14ac:dyDescent="0.35">
      <c r="A194" s="175">
        <v>192</v>
      </c>
      <c r="B194" s="57" t="s">
        <v>1523</v>
      </c>
      <c r="C194" s="57" t="s">
        <v>1524</v>
      </c>
      <c r="D194" s="57" t="s">
        <v>360</v>
      </c>
      <c r="E194" s="57" t="s">
        <v>697</v>
      </c>
      <c r="F194" s="57" t="s">
        <v>697</v>
      </c>
      <c r="G194" s="57" t="s">
        <v>697</v>
      </c>
      <c r="H194" s="57" t="s">
        <v>1525</v>
      </c>
      <c r="I194" s="57" t="s">
        <v>360</v>
      </c>
      <c r="J194" s="57" t="s">
        <v>697</v>
      </c>
      <c r="K194" s="57" t="s">
        <v>697</v>
      </c>
      <c r="L194" s="57" t="s">
        <v>148</v>
      </c>
      <c r="M194" s="57" t="s">
        <v>1526</v>
      </c>
      <c r="N194" s="58">
        <v>2</v>
      </c>
      <c r="O194" s="56" t="s">
        <v>1527</v>
      </c>
      <c r="P194" s="56" t="s">
        <v>1528</v>
      </c>
      <c r="Q194" s="57" t="s">
        <v>700</v>
      </c>
      <c r="R194" s="177">
        <v>73</v>
      </c>
      <c r="S194" s="57" t="s">
        <v>61</v>
      </c>
      <c r="T194" s="57" t="s">
        <v>1529</v>
      </c>
      <c r="U194" s="57" t="s">
        <v>1443</v>
      </c>
      <c r="V194" s="57" t="s">
        <v>1357</v>
      </c>
      <c r="W194" s="57" t="s">
        <v>704</v>
      </c>
      <c r="X194" s="57" t="s">
        <v>734</v>
      </c>
      <c r="Y194" s="57" t="s">
        <v>705</v>
      </c>
      <c r="Z194" s="57" t="s">
        <v>706</v>
      </c>
      <c r="AA194" s="178">
        <v>94279.5</v>
      </c>
      <c r="AB194" s="178">
        <v>200000</v>
      </c>
      <c r="AC194" s="57" t="s">
        <v>716</v>
      </c>
      <c r="AD194" s="57" t="s">
        <v>716</v>
      </c>
      <c r="AE194" s="57" t="s">
        <v>716</v>
      </c>
      <c r="AF194" s="57" t="s">
        <v>716</v>
      </c>
      <c r="AG194" s="57" t="s">
        <v>716</v>
      </c>
      <c r="AH194" s="57" t="s">
        <v>716</v>
      </c>
      <c r="AI194" s="57" t="s">
        <v>716</v>
      </c>
      <c r="AJ194" s="57" t="s">
        <v>716</v>
      </c>
      <c r="AK194" s="57" t="s">
        <v>716</v>
      </c>
      <c r="AL194" s="57" t="s">
        <v>716</v>
      </c>
    </row>
    <row r="195" spans="1:38" x14ac:dyDescent="0.35">
      <c r="A195" s="175">
        <v>193</v>
      </c>
      <c r="B195" s="57" t="s">
        <v>1530</v>
      </c>
      <c r="C195" s="57" t="s">
        <v>1531</v>
      </c>
      <c r="D195" s="57" t="s">
        <v>1532</v>
      </c>
      <c r="E195" s="57" t="s">
        <v>697</v>
      </c>
      <c r="F195" s="57" t="s">
        <v>697</v>
      </c>
      <c r="G195" s="57" t="s">
        <v>697</v>
      </c>
      <c r="H195" s="57" t="s">
        <v>1533</v>
      </c>
      <c r="I195" s="57" t="s">
        <v>1532</v>
      </c>
      <c r="J195" s="57" t="s">
        <v>697</v>
      </c>
      <c r="K195" s="57" t="s">
        <v>697</v>
      </c>
      <c r="L195" s="57" t="s">
        <v>51</v>
      </c>
      <c r="M195" s="57" t="s">
        <v>1534</v>
      </c>
      <c r="N195" s="58">
        <v>2</v>
      </c>
      <c r="O195" s="56" t="s">
        <v>1535</v>
      </c>
      <c r="P195" s="56" t="s">
        <v>1536</v>
      </c>
      <c r="Q195" s="57" t="s">
        <v>700</v>
      </c>
      <c r="R195" s="177">
        <v>350</v>
      </c>
      <c r="S195" s="57" t="s">
        <v>61</v>
      </c>
      <c r="T195" s="57" t="s">
        <v>1229</v>
      </c>
      <c r="U195" s="57" t="s">
        <v>1443</v>
      </c>
      <c r="V195" s="57" t="s">
        <v>1357</v>
      </c>
      <c r="W195" s="57" t="s">
        <v>704</v>
      </c>
      <c r="X195" s="57" t="s">
        <v>734</v>
      </c>
      <c r="Y195" s="57" t="s">
        <v>725</v>
      </c>
      <c r="Z195" s="57" t="s">
        <v>706</v>
      </c>
      <c r="AA195" s="178">
        <v>340666.66666666663</v>
      </c>
      <c r="AB195" s="178">
        <v>200000</v>
      </c>
      <c r="AC195" s="57" t="s">
        <v>716</v>
      </c>
      <c r="AD195" s="57" t="s">
        <v>716</v>
      </c>
      <c r="AE195" s="57" t="s">
        <v>716</v>
      </c>
      <c r="AF195" s="57" t="s">
        <v>716</v>
      </c>
      <c r="AG195" s="57" t="s">
        <v>716</v>
      </c>
      <c r="AH195" s="57" t="s">
        <v>716</v>
      </c>
      <c r="AI195" s="57" t="s">
        <v>716</v>
      </c>
      <c r="AJ195" s="57" t="s">
        <v>716</v>
      </c>
      <c r="AK195" s="57" t="s">
        <v>716</v>
      </c>
      <c r="AL195" s="57" t="s">
        <v>716</v>
      </c>
    </row>
    <row r="196" spans="1:38" x14ac:dyDescent="0.35">
      <c r="A196" s="175">
        <v>194</v>
      </c>
      <c r="B196" s="57" t="s">
        <v>1530</v>
      </c>
      <c r="C196" s="57" t="s">
        <v>1531</v>
      </c>
      <c r="D196" s="57" t="s">
        <v>1532</v>
      </c>
      <c r="E196" s="57" t="s">
        <v>697</v>
      </c>
      <c r="F196" s="57" t="s">
        <v>697</v>
      </c>
      <c r="G196" s="57" t="s">
        <v>697</v>
      </c>
      <c r="H196" s="57" t="s">
        <v>1533</v>
      </c>
      <c r="I196" s="57" t="s">
        <v>1532</v>
      </c>
      <c r="J196" s="57" t="s">
        <v>697</v>
      </c>
      <c r="K196" s="57" t="s">
        <v>697</v>
      </c>
      <c r="L196" s="57" t="s">
        <v>51</v>
      </c>
      <c r="M196" s="57" t="s">
        <v>1537</v>
      </c>
      <c r="N196" s="58">
        <v>2</v>
      </c>
      <c r="O196" s="56" t="s">
        <v>1538</v>
      </c>
      <c r="P196" s="56" t="s">
        <v>1539</v>
      </c>
      <c r="Q196" s="57" t="s">
        <v>700</v>
      </c>
      <c r="R196" s="177">
        <v>172.8</v>
      </c>
      <c r="S196" s="57" t="s">
        <v>61</v>
      </c>
      <c r="T196" s="57" t="s">
        <v>1229</v>
      </c>
      <c r="U196" s="57" t="s">
        <v>1443</v>
      </c>
      <c r="V196" s="57" t="s">
        <v>1357</v>
      </c>
      <c r="W196" s="57" t="s">
        <v>704</v>
      </c>
      <c r="X196" s="57" t="s">
        <v>734</v>
      </c>
      <c r="Y196" s="57" t="s">
        <v>725</v>
      </c>
      <c r="Z196" s="57" t="s">
        <v>706</v>
      </c>
      <c r="AA196" s="178">
        <v>219934.4</v>
      </c>
      <c r="AB196" s="178">
        <v>200000</v>
      </c>
      <c r="AC196" s="57" t="s">
        <v>716</v>
      </c>
      <c r="AD196" s="57" t="s">
        <v>716</v>
      </c>
      <c r="AE196" s="57" t="s">
        <v>716</v>
      </c>
      <c r="AF196" s="57" t="s">
        <v>716</v>
      </c>
      <c r="AG196" s="57" t="s">
        <v>716</v>
      </c>
      <c r="AH196" s="57" t="s">
        <v>716</v>
      </c>
      <c r="AI196" s="57" t="s">
        <v>716</v>
      </c>
      <c r="AJ196" s="57" t="s">
        <v>716</v>
      </c>
      <c r="AK196" s="57" t="s">
        <v>716</v>
      </c>
      <c r="AL196" s="57" t="s">
        <v>716</v>
      </c>
    </row>
    <row r="197" spans="1:38" x14ac:dyDescent="0.35">
      <c r="A197" s="175">
        <v>195</v>
      </c>
      <c r="B197" s="57" t="s">
        <v>1540</v>
      </c>
      <c r="C197" s="57" t="s">
        <v>1541</v>
      </c>
      <c r="D197" s="57" t="s">
        <v>1251</v>
      </c>
      <c r="E197" s="57" t="s">
        <v>1542</v>
      </c>
      <c r="F197" s="57" t="s">
        <v>1543</v>
      </c>
      <c r="G197" s="191" t="s">
        <v>1544</v>
      </c>
      <c r="H197" s="57" t="s">
        <v>1545</v>
      </c>
      <c r="I197" s="57" t="s">
        <v>1251</v>
      </c>
      <c r="J197" s="57" t="s">
        <v>697</v>
      </c>
      <c r="K197" s="57" t="s">
        <v>697</v>
      </c>
      <c r="L197" s="57" t="s">
        <v>18</v>
      </c>
      <c r="M197" s="57" t="s">
        <v>1546</v>
      </c>
      <c r="N197" s="58">
        <v>2</v>
      </c>
      <c r="O197" s="56" t="s">
        <v>1547</v>
      </c>
      <c r="P197" s="56" t="s">
        <v>78</v>
      </c>
      <c r="Q197" s="57" t="s">
        <v>700</v>
      </c>
      <c r="R197" s="177">
        <v>10</v>
      </c>
      <c r="S197" s="57" t="s">
        <v>1548</v>
      </c>
      <c r="T197" s="57" t="s">
        <v>945</v>
      </c>
      <c r="U197" s="57" t="s">
        <v>1549</v>
      </c>
      <c r="V197" s="57" t="s">
        <v>724</v>
      </c>
      <c r="W197" s="57" t="s">
        <v>704</v>
      </c>
      <c r="X197" s="57" t="s">
        <v>61</v>
      </c>
      <c r="Y197" s="57" t="s">
        <v>725</v>
      </c>
      <c r="Z197" s="57" t="s">
        <v>706</v>
      </c>
      <c r="AA197" s="178">
        <v>76650</v>
      </c>
      <c r="AB197" s="178">
        <v>0</v>
      </c>
      <c r="AC197" s="57" t="s">
        <v>716</v>
      </c>
      <c r="AD197" s="57" t="s">
        <v>716</v>
      </c>
      <c r="AE197" s="57" t="s">
        <v>716</v>
      </c>
      <c r="AF197" s="57" t="s">
        <v>716</v>
      </c>
      <c r="AG197" s="57" t="s">
        <v>716</v>
      </c>
      <c r="AH197" s="57" t="s">
        <v>716</v>
      </c>
      <c r="AI197" s="57" t="s">
        <v>716</v>
      </c>
      <c r="AJ197" s="57" t="s">
        <v>716</v>
      </c>
      <c r="AK197" s="57" t="s">
        <v>716</v>
      </c>
      <c r="AL197" s="57" t="s">
        <v>716</v>
      </c>
    </row>
    <row r="198" spans="1:38" x14ac:dyDescent="0.35">
      <c r="A198" s="175">
        <v>196</v>
      </c>
      <c r="B198" s="57" t="s">
        <v>1540</v>
      </c>
      <c r="C198" s="57" t="s">
        <v>1541</v>
      </c>
      <c r="D198" s="57" t="s">
        <v>1251</v>
      </c>
      <c r="E198" s="57" t="s">
        <v>1542</v>
      </c>
      <c r="F198" s="57" t="s">
        <v>1543</v>
      </c>
      <c r="G198" s="191" t="s">
        <v>1544</v>
      </c>
      <c r="H198" s="57" t="s">
        <v>1545</v>
      </c>
      <c r="I198" s="57" t="s">
        <v>1251</v>
      </c>
      <c r="J198" s="57" t="s">
        <v>697</v>
      </c>
      <c r="K198" s="57" t="s">
        <v>697</v>
      </c>
      <c r="L198" s="57" t="s">
        <v>18</v>
      </c>
      <c r="M198" s="57" t="s">
        <v>1550</v>
      </c>
      <c r="N198" s="58">
        <v>2</v>
      </c>
      <c r="O198" s="56" t="s">
        <v>1547</v>
      </c>
      <c r="P198" s="56" t="s">
        <v>78</v>
      </c>
      <c r="Q198" s="57" t="s">
        <v>700</v>
      </c>
      <c r="R198" s="177">
        <v>10</v>
      </c>
      <c r="S198" s="57" t="s">
        <v>1548</v>
      </c>
      <c r="T198" s="57" t="s">
        <v>945</v>
      </c>
      <c r="U198" s="57" t="s">
        <v>1549</v>
      </c>
      <c r="V198" s="57" t="s">
        <v>724</v>
      </c>
      <c r="W198" s="57" t="s">
        <v>704</v>
      </c>
      <c r="X198" s="57" t="s">
        <v>61</v>
      </c>
      <c r="Y198" s="57" t="s">
        <v>725</v>
      </c>
      <c r="Z198" s="57" t="s">
        <v>706</v>
      </c>
      <c r="AA198" s="178">
        <v>76650</v>
      </c>
      <c r="AB198" s="178">
        <v>0</v>
      </c>
      <c r="AC198" s="57" t="s">
        <v>716</v>
      </c>
      <c r="AD198" s="57" t="s">
        <v>716</v>
      </c>
      <c r="AE198" s="57" t="s">
        <v>716</v>
      </c>
      <c r="AF198" s="57" t="s">
        <v>716</v>
      </c>
      <c r="AG198" s="57" t="s">
        <v>716</v>
      </c>
      <c r="AH198" s="57" t="s">
        <v>716</v>
      </c>
      <c r="AI198" s="57" t="s">
        <v>716</v>
      </c>
      <c r="AJ198" s="57" t="s">
        <v>716</v>
      </c>
      <c r="AK198" s="57" t="s">
        <v>716</v>
      </c>
      <c r="AL198" s="57" t="s">
        <v>716</v>
      </c>
    </row>
    <row r="199" spans="1:38" x14ac:dyDescent="0.35">
      <c r="A199" s="175">
        <v>197</v>
      </c>
      <c r="B199" s="57" t="s">
        <v>1540</v>
      </c>
      <c r="C199" s="57" t="s">
        <v>1541</v>
      </c>
      <c r="D199" s="57" t="s">
        <v>1251</v>
      </c>
      <c r="E199" s="57" t="s">
        <v>1542</v>
      </c>
      <c r="F199" s="57" t="s">
        <v>1543</v>
      </c>
      <c r="G199" s="191" t="s">
        <v>1544</v>
      </c>
      <c r="H199" s="57" t="s">
        <v>1545</v>
      </c>
      <c r="I199" s="57" t="s">
        <v>1251</v>
      </c>
      <c r="J199" s="57" t="s">
        <v>697</v>
      </c>
      <c r="K199" s="57" t="s">
        <v>697</v>
      </c>
      <c r="L199" s="57" t="s">
        <v>18</v>
      </c>
      <c r="M199" s="57" t="s">
        <v>1551</v>
      </c>
      <c r="N199" s="58">
        <v>2</v>
      </c>
      <c r="O199" s="56" t="s">
        <v>1547</v>
      </c>
      <c r="P199" s="56" t="s">
        <v>78</v>
      </c>
      <c r="Q199" s="57" t="s">
        <v>700</v>
      </c>
      <c r="R199" s="177">
        <v>10</v>
      </c>
      <c r="S199" s="57" t="s">
        <v>1548</v>
      </c>
      <c r="T199" s="57" t="s">
        <v>945</v>
      </c>
      <c r="U199" s="57" t="s">
        <v>1549</v>
      </c>
      <c r="V199" s="57" t="s">
        <v>724</v>
      </c>
      <c r="W199" s="57" t="s">
        <v>704</v>
      </c>
      <c r="X199" s="57" t="s">
        <v>61</v>
      </c>
      <c r="Y199" s="57" t="s">
        <v>725</v>
      </c>
      <c r="Z199" s="57" t="s">
        <v>706</v>
      </c>
      <c r="AA199" s="178">
        <v>76650</v>
      </c>
      <c r="AB199" s="178">
        <v>0</v>
      </c>
      <c r="AC199" s="57" t="s">
        <v>716</v>
      </c>
      <c r="AD199" s="57" t="s">
        <v>716</v>
      </c>
      <c r="AE199" s="57" t="s">
        <v>716</v>
      </c>
      <c r="AF199" s="57" t="s">
        <v>716</v>
      </c>
      <c r="AG199" s="57" t="s">
        <v>716</v>
      </c>
      <c r="AH199" s="57" t="s">
        <v>716</v>
      </c>
      <c r="AI199" s="57" t="s">
        <v>716</v>
      </c>
      <c r="AJ199" s="57" t="s">
        <v>716</v>
      </c>
      <c r="AK199" s="57" t="s">
        <v>716</v>
      </c>
      <c r="AL199" s="57" t="s">
        <v>716</v>
      </c>
    </row>
    <row r="200" spans="1:38" x14ac:dyDescent="0.35">
      <c r="A200" s="175">
        <v>198</v>
      </c>
      <c r="B200" s="57" t="s">
        <v>1540</v>
      </c>
      <c r="C200" s="57" t="s">
        <v>1541</v>
      </c>
      <c r="D200" s="57" t="s">
        <v>1251</v>
      </c>
      <c r="E200" s="57" t="s">
        <v>1542</v>
      </c>
      <c r="F200" s="57" t="s">
        <v>1543</v>
      </c>
      <c r="G200" s="191" t="s">
        <v>1544</v>
      </c>
      <c r="H200" s="57" t="s">
        <v>1545</v>
      </c>
      <c r="I200" s="57" t="s">
        <v>1251</v>
      </c>
      <c r="J200" s="57" t="s">
        <v>697</v>
      </c>
      <c r="K200" s="57" t="s">
        <v>697</v>
      </c>
      <c r="L200" s="57" t="s">
        <v>18</v>
      </c>
      <c r="M200" s="57" t="s">
        <v>1552</v>
      </c>
      <c r="N200" s="58">
        <v>2</v>
      </c>
      <c r="O200" s="56" t="s">
        <v>1547</v>
      </c>
      <c r="P200" s="56" t="s">
        <v>78</v>
      </c>
      <c r="Q200" s="57" t="s">
        <v>700</v>
      </c>
      <c r="R200" s="177">
        <v>10</v>
      </c>
      <c r="S200" s="57" t="s">
        <v>1548</v>
      </c>
      <c r="T200" s="57" t="s">
        <v>945</v>
      </c>
      <c r="U200" s="57" t="s">
        <v>1549</v>
      </c>
      <c r="V200" s="57" t="s">
        <v>724</v>
      </c>
      <c r="W200" s="57" t="s">
        <v>704</v>
      </c>
      <c r="X200" s="57" t="s">
        <v>61</v>
      </c>
      <c r="Y200" s="57" t="s">
        <v>725</v>
      </c>
      <c r="Z200" s="57" t="s">
        <v>706</v>
      </c>
      <c r="AA200" s="178">
        <v>76650</v>
      </c>
      <c r="AB200" s="178">
        <v>0</v>
      </c>
      <c r="AC200" s="57" t="s">
        <v>716</v>
      </c>
      <c r="AD200" s="57" t="s">
        <v>716</v>
      </c>
      <c r="AE200" s="57" t="s">
        <v>716</v>
      </c>
      <c r="AF200" s="57" t="s">
        <v>716</v>
      </c>
      <c r="AG200" s="57" t="s">
        <v>716</v>
      </c>
      <c r="AH200" s="57" t="s">
        <v>716</v>
      </c>
      <c r="AI200" s="57" t="s">
        <v>716</v>
      </c>
      <c r="AJ200" s="57" t="s">
        <v>716</v>
      </c>
      <c r="AK200" s="57" t="s">
        <v>716</v>
      </c>
      <c r="AL200" s="57" t="s">
        <v>716</v>
      </c>
    </row>
    <row r="201" spans="1:38" x14ac:dyDescent="0.35">
      <c r="A201" s="175">
        <v>199</v>
      </c>
      <c r="B201" s="57" t="s">
        <v>1553</v>
      </c>
      <c r="C201" s="57" t="s">
        <v>1554</v>
      </c>
      <c r="D201" s="57" t="s">
        <v>1555</v>
      </c>
      <c r="E201" s="57" t="s">
        <v>697</v>
      </c>
      <c r="F201" s="57" t="s">
        <v>697</v>
      </c>
      <c r="G201" s="57" t="s">
        <v>697</v>
      </c>
      <c r="H201" s="57" t="s">
        <v>697</v>
      </c>
      <c r="I201" s="57" t="s">
        <v>1555</v>
      </c>
      <c r="J201" s="57" t="s">
        <v>697</v>
      </c>
      <c r="K201" s="57" t="s">
        <v>697</v>
      </c>
      <c r="L201" s="57" t="s">
        <v>35</v>
      </c>
      <c r="M201" s="57" t="s">
        <v>1556</v>
      </c>
      <c r="N201" s="58">
        <v>2</v>
      </c>
      <c r="O201" s="56" t="s">
        <v>1547</v>
      </c>
      <c r="P201" s="56" t="s">
        <v>78</v>
      </c>
      <c r="Q201" s="57" t="s">
        <v>700</v>
      </c>
      <c r="R201" s="177">
        <v>100</v>
      </c>
      <c r="S201" s="57" t="s">
        <v>816</v>
      </c>
      <c r="T201" s="57" t="s">
        <v>945</v>
      </c>
      <c r="U201" s="57" t="s">
        <v>1557</v>
      </c>
      <c r="V201" s="57" t="s">
        <v>724</v>
      </c>
      <c r="W201" s="57" t="s">
        <v>704</v>
      </c>
      <c r="X201" s="57" t="s">
        <v>61</v>
      </c>
      <c r="Y201" s="57" t="s">
        <v>705</v>
      </c>
      <c r="Z201" s="57" t="s">
        <v>706</v>
      </c>
      <c r="AA201" s="178">
        <v>153300</v>
      </c>
      <c r="AB201" s="178">
        <v>0</v>
      </c>
      <c r="AC201" s="57" t="s">
        <v>716</v>
      </c>
      <c r="AD201" s="57" t="s">
        <v>716</v>
      </c>
      <c r="AE201" s="57" t="s">
        <v>716</v>
      </c>
      <c r="AF201" s="57" t="s">
        <v>716</v>
      </c>
      <c r="AG201" s="57" t="s">
        <v>716</v>
      </c>
      <c r="AH201" s="57" t="s">
        <v>716</v>
      </c>
      <c r="AI201" s="57" t="s">
        <v>716</v>
      </c>
      <c r="AJ201" s="57" t="s">
        <v>716</v>
      </c>
      <c r="AK201" s="57" t="s">
        <v>716</v>
      </c>
      <c r="AL201" s="57" t="s">
        <v>716</v>
      </c>
    </row>
    <row r="202" spans="1:38" x14ac:dyDescent="0.35">
      <c r="A202" s="142"/>
      <c r="B202" s="146" t="s">
        <v>984</v>
      </c>
      <c r="C202" s="192" t="s">
        <v>1558</v>
      </c>
      <c r="D202" s="193" t="s">
        <v>1559</v>
      </c>
      <c r="E202" s="146"/>
      <c r="F202" s="146"/>
      <c r="G202" s="146"/>
      <c r="H202" s="193" t="s">
        <v>1560</v>
      </c>
      <c r="I202" s="194" t="s">
        <v>1559</v>
      </c>
      <c r="J202" s="57" t="s">
        <v>697</v>
      </c>
      <c r="K202" s="57" t="s">
        <v>697</v>
      </c>
      <c r="L202" s="146" t="s">
        <v>721</v>
      </c>
      <c r="M202" s="195" t="s">
        <v>1561</v>
      </c>
      <c r="N202" s="147">
        <v>2</v>
      </c>
      <c r="O202" s="148">
        <v>47184</v>
      </c>
      <c r="P202" s="148">
        <v>45359</v>
      </c>
      <c r="Q202" s="57" t="s">
        <v>700</v>
      </c>
      <c r="R202" s="149">
        <v>67.239999999999995</v>
      </c>
      <c r="S202" s="146" t="s">
        <v>816</v>
      </c>
      <c r="T202" s="57" t="s">
        <v>945</v>
      </c>
      <c r="U202" s="57" t="s">
        <v>1562</v>
      </c>
      <c r="V202" s="146"/>
      <c r="W202" s="57" t="s">
        <v>704</v>
      </c>
      <c r="X202" s="146"/>
      <c r="Y202" s="146"/>
      <c r="Z202" s="146"/>
      <c r="AA202" s="151">
        <f>SUM(AA3:AA201)</f>
        <v>99703009.420000017</v>
      </c>
      <c r="AB202" s="151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</row>
    <row r="203" spans="1:38" x14ac:dyDescent="0.35">
      <c r="A203" s="142"/>
      <c r="B203" s="146" t="s">
        <v>984</v>
      </c>
      <c r="C203" s="192" t="s">
        <v>1558</v>
      </c>
      <c r="D203" s="196" t="s">
        <v>1563</v>
      </c>
      <c r="E203" s="146"/>
      <c r="F203" s="146"/>
      <c r="G203" s="146"/>
      <c r="H203" s="146"/>
      <c r="I203" s="146"/>
      <c r="J203" s="57" t="s">
        <v>697</v>
      </c>
      <c r="K203" s="57" t="s">
        <v>697</v>
      </c>
      <c r="L203" s="146" t="s">
        <v>721</v>
      </c>
      <c r="M203" s="146" t="s">
        <v>1564</v>
      </c>
      <c r="N203" s="147">
        <v>2</v>
      </c>
      <c r="O203" s="148">
        <v>47184</v>
      </c>
      <c r="P203" s="148">
        <v>45359</v>
      </c>
      <c r="Q203" s="57" t="s">
        <v>700</v>
      </c>
      <c r="R203" s="149">
        <v>67.239999999999995</v>
      </c>
      <c r="S203" s="146" t="s">
        <v>816</v>
      </c>
      <c r="T203" s="57" t="s">
        <v>945</v>
      </c>
      <c r="U203" s="57" t="s">
        <v>1565</v>
      </c>
      <c r="V203" s="146"/>
      <c r="W203" s="57" t="s">
        <v>704</v>
      </c>
      <c r="X203" s="146"/>
      <c r="Y203" s="146"/>
      <c r="Z203" s="146"/>
      <c r="AA203" s="151"/>
      <c r="AB203" s="151"/>
      <c r="AC203" s="146"/>
      <c r="AD203" s="146"/>
      <c r="AE203" s="146"/>
      <c r="AF203" s="146"/>
      <c r="AG203" s="146"/>
      <c r="AH203" s="146"/>
      <c r="AI203" s="146"/>
      <c r="AJ203" s="146"/>
      <c r="AK203" s="146"/>
      <c r="AL203" s="146"/>
    </row>
    <row r="204" spans="1:38" x14ac:dyDescent="0.35">
      <c r="A204" s="142"/>
      <c r="B204" s="146" t="s">
        <v>984</v>
      </c>
      <c r="C204" s="192" t="s">
        <v>1558</v>
      </c>
      <c r="D204" s="196" t="s">
        <v>1566</v>
      </c>
      <c r="E204" s="146"/>
      <c r="F204" s="146"/>
      <c r="G204" s="146"/>
      <c r="H204" s="146"/>
      <c r="I204" s="146"/>
      <c r="J204" s="57" t="s">
        <v>697</v>
      </c>
      <c r="K204" s="57" t="s">
        <v>697</v>
      </c>
      <c r="L204" s="146" t="s">
        <v>721</v>
      </c>
      <c r="M204" s="146" t="s">
        <v>1567</v>
      </c>
      <c r="N204" s="147">
        <v>2</v>
      </c>
      <c r="O204" s="148">
        <v>47184</v>
      </c>
      <c r="P204" s="148">
        <v>45359</v>
      </c>
      <c r="Q204" s="57" t="s">
        <v>700</v>
      </c>
      <c r="R204" s="149">
        <v>67.239999999999995</v>
      </c>
      <c r="S204" s="146" t="s">
        <v>816</v>
      </c>
      <c r="T204" s="57" t="s">
        <v>945</v>
      </c>
      <c r="U204" s="57" t="s">
        <v>1568</v>
      </c>
      <c r="V204" s="146"/>
      <c r="W204" s="57" t="s">
        <v>704</v>
      </c>
      <c r="X204" s="146"/>
      <c r="Y204" s="146"/>
      <c r="Z204" s="146"/>
      <c r="AA204" s="151"/>
      <c r="AB204" s="151"/>
      <c r="AC204" s="146"/>
      <c r="AD204" s="146"/>
      <c r="AE204" s="146"/>
      <c r="AF204" s="146"/>
      <c r="AG204" s="146"/>
      <c r="AH204" s="146"/>
      <c r="AI204" s="146"/>
      <c r="AJ204" s="146"/>
      <c r="AK204" s="146"/>
      <c r="AL204" s="146"/>
    </row>
    <row r="205" spans="1:38" x14ac:dyDescent="0.35">
      <c r="A205" s="142"/>
      <c r="B205" s="146" t="s">
        <v>984</v>
      </c>
      <c r="C205" s="192" t="s">
        <v>1558</v>
      </c>
      <c r="D205" s="4" t="s">
        <v>1569</v>
      </c>
      <c r="E205" s="146"/>
      <c r="F205" s="146"/>
      <c r="G205" s="146"/>
      <c r="H205" s="146"/>
      <c r="I205" s="146"/>
      <c r="J205" s="57" t="s">
        <v>697</v>
      </c>
      <c r="K205" s="57" t="s">
        <v>697</v>
      </c>
      <c r="L205" s="146" t="s">
        <v>721</v>
      </c>
      <c r="M205" s="146" t="s">
        <v>1570</v>
      </c>
      <c r="N205" s="147">
        <v>2</v>
      </c>
      <c r="O205" s="148">
        <v>47184</v>
      </c>
      <c r="P205" s="148">
        <v>45359</v>
      </c>
      <c r="Q205" s="57" t="s">
        <v>700</v>
      </c>
      <c r="R205" s="149">
        <v>67.239999999999995</v>
      </c>
      <c r="S205" s="146" t="s">
        <v>816</v>
      </c>
      <c r="T205" s="57" t="s">
        <v>945</v>
      </c>
      <c r="U205" s="57" t="s">
        <v>1568</v>
      </c>
      <c r="V205" s="146"/>
      <c r="W205" s="57" t="s">
        <v>704</v>
      </c>
      <c r="X205" s="146"/>
      <c r="Y205" s="146"/>
      <c r="Z205" s="146"/>
      <c r="AA205" s="151"/>
      <c r="AB205" s="151"/>
      <c r="AC205" s="146"/>
      <c r="AD205" s="146"/>
      <c r="AE205" s="146"/>
      <c r="AF205" s="146"/>
      <c r="AG205" s="146"/>
      <c r="AH205" s="146"/>
      <c r="AI205" s="146"/>
      <c r="AJ205" s="146"/>
      <c r="AK205" s="146"/>
      <c r="AL205" s="146"/>
    </row>
    <row r="206" spans="1:38" x14ac:dyDescent="0.35">
      <c r="A206" s="142"/>
      <c r="B206" s="146" t="s">
        <v>984</v>
      </c>
      <c r="C206" s="192" t="s">
        <v>1558</v>
      </c>
      <c r="D206" s="196" t="s">
        <v>1571</v>
      </c>
      <c r="E206" s="146"/>
      <c r="F206" s="146"/>
      <c r="G206" s="146"/>
      <c r="H206" s="146"/>
      <c r="I206" s="146"/>
      <c r="J206" s="57" t="s">
        <v>697</v>
      </c>
      <c r="K206" s="57" t="s">
        <v>697</v>
      </c>
      <c r="L206" s="146" t="s">
        <v>721</v>
      </c>
      <c r="M206" s="146" t="s">
        <v>1572</v>
      </c>
      <c r="N206" s="147">
        <v>2</v>
      </c>
      <c r="O206" s="148">
        <v>47184</v>
      </c>
      <c r="P206" s="148">
        <v>45359</v>
      </c>
      <c r="Q206" s="57" t="s">
        <v>700</v>
      </c>
      <c r="R206" s="149">
        <v>67.239999999999995</v>
      </c>
      <c r="S206" s="146" t="s">
        <v>816</v>
      </c>
      <c r="T206" s="57" t="s">
        <v>945</v>
      </c>
      <c r="U206" s="57" t="s">
        <v>1573</v>
      </c>
      <c r="V206" s="146"/>
      <c r="W206" s="57" t="s">
        <v>704</v>
      </c>
      <c r="X206" s="146"/>
      <c r="Y206" s="146"/>
      <c r="Z206" s="146"/>
      <c r="AA206" s="151"/>
      <c r="AB206" s="151"/>
      <c r="AC206" s="146"/>
      <c r="AD206" s="146"/>
      <c r="AE206" s="146"/>
      <c r="AF206" s="146"/>
      <c r="AG206" s="146"/>
      <c r="AH206" s="146"/>
      <c r="AI206" s="146"/>
      <c r="AJ206" s="146"/>
      <c r="AK206" s="146"/>
      <c r="AL206" s="146"/>
    </row>
    <row r="207" spans="1:38" x14ac:dyDescent="0.35">
      <c r="A207" s="142"/>
      <c r="B207" s="146" t="s">
        <v>984</v>
      </c>
      <c r="C207" s="192" t="s">
        <v>1558</v>
      </c>
      <c r="D207" s="196" t="s">
        <v>1574</v>
      </c>
      <c r="E207" s="146"/>
      <c r="F207" s="146"/>
      <c r="G207" s="146"/>
      <c r="H207" s="146"/>
      <c r="I207" s="146"/>
      <c r="J207" s="57" t="s">
        <v>697</v>
      </c>
      <c r="K207" s="57" t="s">
        <v>697</v>
      </c>
      <c r="L207" s="146" t="s">
        <v>721</v>
      </c>
      <c r="M207" s="146" t="s">
        <v>1575</v>
      </c>
      <c r="N207" s="147">
        <v>2</v>
      </c>
      <c r="O207" s="148">
        <v>47184</v>
      </c>
      <c r="P207" s="148">
        <v>45359</v>
      </c>
      <c r="Q207" s="57" t="s">
        <v>700</v>
      </c>
      <c r="R207" s="149">
        <v>67.239999999999995</v>
      </c>
      <c r="S207" s="146" t="s">
        <v>816</v>
      </c>
      <c r="T207" s="57" t="s">
        <v>945</v>
      </c>
      <c r="U207" s="57" t="s">
        <v>1573</v>
      </c>
      <c r="V207" s="146"/>
      <c r="W207" s="57" t="s">
        <v>704</v>
      </c>
      <c r="X207" s="146"/>
      <c r="Y207" s="146"/>
      <c r="Z207" s="146"/>
      <c r="AA207" s="151"/>
      <c r="AB207" s="151"/>
      <c r="AC207" s="146"/>
      <c r="AD207" s="146"/>
      <c r="AE207" s="146"/>
      <c r="AF207" s="146"/>
      <c r="AG207" s="146"/>
      <c r="AH207" s="146"/>
      <c r="AI207" s="146"/>
      <c r="AJ207" s="146"/>
      <c r="AK207" s="146"/>
      <c r="AL207" s="146"/>
    </row>
    <row r="208" spans="1:38" x14ac:dyDescent="0.35">
      <c r="A208" s="142"/>
      <c r="B208" s="146" t="s">
        <v>984</v>
      </c>
      <c r="C208" s="192" t="s">
        <v>1558</v>
      </c>
      <c r="D208" s="196" t="s">
        <v>1576</v>
      </c>
      <c r="E208" s="146"/>
      <c r="F208" s="146"/>
      <c r="G208" s="146"/>
      <c r="H208" s="146"/>
      <c r="I208" s="146"/>
      <c r="J208" s="57" t="s">
        <v>697</v>
      </c>
      <c r="K208" s="57" t="s">
        <v>697</v>
      </c>
      <c r="L208" s="146" t="s">
        <v>721</v>
      </c>
      <c r="M208" s="146" t="s">
        <v>1577</v>
      </c>
      <c r="N208" s="147">
        <v>2</v>
      </c>
      <c r="O208" s="148">
        <v>47184</v>
      </c>
      <c r="P208" s="148">
        <v>45359</v>
      </c>
      <c r="Q208" s="57" t="s">
        <v>700</v>
      </c>
      <c r="R208" s="149">
        <v>67.239999999999995</v>
      </c>
      <c r="S208" s="146" t="s">
        <v>816</v>
      </c>
      <c r="T208" s="57" t="s">
        <v>945</v>
      </c>
      <c r="U208" s="57" t="s">
        <v>1578</v>
      </c>
      <c r="V208" s="146"/>
      <c r="W208" s="57" t="s">
        <v>704</v>
      </c>
      <c r="X208" s="146"/>
      <c r="Y208" s="146"/>
      <c r="Z208" s="146"/>
      <c r="AA208" s="151"/>
      <c r="AB208" s="151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</row>
    <row r="209" spans="1:38" x14ac:dyDescent="0.35">
      <c r="A209" s="142"/>
      <c r="B209" s="146" t="s">
        <v>984</v>
      </c>
      <c r="C209" s="192" t="s">
        <v>1558</v>
      </c>
      <c r="D209" s="196" t="s">
        <v>1579</v>
      </c>
      <c r="E209" s="146"/>
      <c r="F209" s="146"/>
      <c r="G209" s="146"/>
      <c r="H209" s="146"/>
      <c r="I209" s="146"/>
      <c r="J209" s="57" t="s">
        <v>697</v>
      </c>
      <c r="K209" s="57" t="s">
        <v>697</v>
      </c>
      <c r="L209" s="146" t="s">
        <v>721</v>
      </c>
      <c r="M209" s="146" t="s">
        <v>1580</v>
      </c>
      <c r="N209" s="147">
        <v>2</v>
      </c>
      <c r="O209" s="148">
        <v>47184</v>
      </c>
      <c r="P209" s="148">
        <v>45359</v>
      </c>
      <c r="Q209" s="57" t="s">
        <v>700</v>
      </c>
      <c r="R209" s="149">
        <v>67.239999999999995</v>
      </c>
      <c r="S209" s="146" t="s">
        <v>816</v>
      </c>
      <c r="T209" s="57" t="s">
        <v>945</v>
      </c>
      <c r="U209" s="57" t="s">
        <v>1568</v>
      </c>
      <c r="V209" s="146"/>
      <c r="W209" s="57" t="s">
        <v>704</v>
      </c>
      <c r="X209" s="146"/>
      <c r="Y209" s="146"/>
      <c r="Z209" s="146"/>
      <c r="AA209" s="151"/>
      <c r="AB209" s="151"/>
      <c r="AC209" s="146"/>
      <c r="AD209" s="146"/>
      <c r="AE209" s="146"/>
      <c r="AF209" s="146"/>
      <c r="AG209" s="146"/>
      <c r="AH209" s="146"/>
      <c r="AI209" s="146"/>
      <c r="AJ209" s="146"/>
      <c r="AK209" s="146"/>
      <c r="AL209" s="146"/>
    </row>
    <row r="210" spans="1:38" x14ac:dyDescent="0.35">
      <c r="A210" s="142"/>
      <c r="B210" s="146" t="s">
        <v>984</v>
      </c>
      <c r="C210" s="192" t="s">
        <v>1558</v>
      </c>
      <c r="D210" s="196" t="s">
        <v>1581</v>
      </c>
      <c r="E210" s="146"/>
      <c r="F210" s="146"/>
      <c r="G210" s="146"/>
      <c r="H210" s="146"/>
      <c r="I210" s="146"/>
      <c r="J210" s="57" t="s">
        <v>697</v>
      </c>
      <c r="K210" s="57" t="s">
        <v>697</v>
      </c>
      <c r="L210" s="146" t="s">
        <v>721</v>
      </c>
      <c r="M210" s="146" t="s">
        <v>1582</v>
      </c>
      <c r="N210" s="147">
        <v>2</v>
      </c>
      <c r="O210" s="148">
        <v>47184</v>
      </c>
      <c r="P210" s="148">
        <v>45359</v>
      </c>
      <c r="Q210" s="57" t="s">
        <v>700</v>
      </c>
      <c r="R210" s="149">
        <v>67.239999999999995</v>
      </c>
      <c r="S210" s="146" t="s">
        <v>816</v>
      </c>
      <c r="T210" s="57" t="s">
        <v>945</v>
      </c>
      <c r="U210" s="57" t="s">
        <v>1578</v>
      </c>
      <c r="V210" s="146"/>
      <c r="W210" s="57" t="s">
        <v>704</v>
      </c>
      <c r="X210" s="146"/>
      <c r="Y210" s="146"/>
      <c r="Z210" s="146"/>
      <c r="AA210" s="151"/>
      <c r="AB210" s="151"/>
      <c r="AC210" s="146"/>
      <c r="AD210" s="146"/>
      <c r="AE210" s="146"/>
      <c r="AF210" s="146"/>
      <c r="AG210" s="146"/>
      <c r="AH210" s="146"/>
      <c r="AI210" s="146"/>
      <c r="AJ210" s="146"/>
      <c r="AK210" s="146"/>
      <c r="AL210" s="146"/>
    </row>
    <row r="211" spans="1:38" x14ac:dyDescent="0.35">
      <c r="A211" s="142"/>
      <c r="B211" s="146" t="s">
        <v>984</v>
      </c>
      <c r="C211" s="192" t="s">
        <v>1558</v>
      </c>
      <c r="D211" s="196" t="s">
        <v>1583</v>
      </c>
      <c r="E211" s="146"/>
      <c r="F211" s="146"/>
      <c r="G211" s="146"/>
      <c r="H211" s="146"/>
      <c r="I211" s="146"/>
      <c r="J211" s="57" t="s">
        <v>697</v>
      </c>
      <c r="K211" s="57" t="s">
        <v>697</v>
      </c>
      <c r="L211" s="146" t="s">
        <v>721</v>
      </c>
      <c r="M211" s="197" t="s">
        <v>1584</v>
      </c>
      <c r="N211" s="147">
        <v>2</v>
      </c>
      <c r="O211" s="148">
        <v>47184</v>
      </c>
      <c r="P211" s="148">
        <v>45359</v>
      </c>
      <c r="Q211" s="57" t="s">
        <v>700</v>
      </c>
      <c r="R211" s="149">
        <v>67.239999999999995</v>
      </c>
      <c r="S211" s="146" t="s">
        <v>816</v>
      </c>
      <c r="T211" s="57" t="s">
        <v>945</v>
      </c>
      <c r="U211" s="57" t="s">
        <v>1578</v>
      </c>
      <c r="V211" s="146"/>
      <c r="W211" s="57" t="s">
        <v>704</v>
      </c>
      <c r="X211" s="146"/>
      <c r="Y211" s="146"/>
      <c r="Z211" s="146"/>
      <c r="AA211" s="151"/>
      <c r="AB211" s="151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</row>
    <row r="212" spans="1:38" ht="27" x14ac:dyDescent="0.35">
      <c r="A212" s="142"/>
      <c r="B212" s="146" t="s">
        <v>1585</v>
      </c>
      <c r="C212" s="198" t="s">
        <v>1586</v>
      </c>
      <c r="D212" s="196" t="s">
        <v>1587</v>
      </c>
      <c r="E212" s="146"/>
      <c r="F212" s="146"/>
      <c r="G212" s="146"/>
      <c r="H212" s="146"/>
      <c r="I212" s="146"/>
      <c r="J212" s="57" t="s">
        <v>697</v>
      </c>
      <c r="K212" s="57" t="s">
        <v>697</v>
      </c>
      <c r="L212" s="199" t="s">
        <v>148</v>
      </c>
      <c r="M212" s="200" t="s">
        <v>1588</v>
      </c>
      <c r="N212" s="147">
        <v>2</v>
      </c>
      <c r="O212" s="148">
        <v>47184</v>
      </c>
      <c r="P212" s="148">
        <v>45359</v>
      </c>
      <c r="Q212" s="57" t="s">
        <v>700</v>
      </c>
      <c r="R212" s="149">
        <v>25</v>
      </c>
      <c r="S212" s="146" t="s">
        <v>816</v>
      </c>
      <c r="T212" s="57" t="s">
        <v>945</v>
      </c>
      <c r="U212" s="146" t="s">
        <v>1589</v>
      </c>
      <c r="V212" s="146"/>
      <c r="W212" s="57" t="s">
        <v>704</v>
      </c>
      <c r="X212" s="146"/>
      <c r="Y212" s="146"/>
      <c r="Z212" s="146"/>
      <c r="AA212" s="151"/>
      <c r="AB212" s="151"/>
      <c r="AC212" s="146"/>
      <c r="AD212" s="146"/>
      <c r="AE212" s="146"/>
      <c r="AF212" s="146"/>
      <c r="AG212" s="146"/>
      <c r="AH212" s="146"/>
      <c r="AI212" s="146"/>
      <c r="AJ212" s="146"/>
      <c r="AK212" s="146"/>
      <c r="AL212" s="146"/>
    </row>
    <row r="213" spans="1:38" ht="27" x14ac:dyDescent="0.35">
      <c r="A213" s="142"/>
      <c r="B213" s="146" t="s">
        <v>1590</v>
      </c>
      <c r="C213" s="198" t="s">
        <v>1591</v>
      </c>
      <c r="D213" s="196" t="s">
        <v>28</v>
      </c>
      <c r="E213" s="146"/>
      <c r="F213" s="146"/>
      <c r="G213" s="146"/>
      <c r="H213" s="146"/>
      <c r="I213" s="146"/>
      <c r="J213" s="57" t="s">
        <v>697</v>
      </c>
      <c r="K213" s="57" t="s">
        <v>697</v>
      </c>
      <c r="L213" s="199" t="s">
        <v>28</v>
      </c>
      <c r="M213" s="200" t="s">
        <v>1592</v>
      </c>
      <c r="N213" s="147">
        <v>2</v>
      </c>
      <c r="O213" s="148">
        <v>47184</v>
      </c>
      <c r="P213" s="148">
        <v>45359</v>
      </c>
      <c r="Q213" s="57" t="s">
        <v>700</v>
      </c>
      <c r="R213" s="149">
        <v>20</v>
      </c>
      <c r="S213" s="146" t="s">
        <v>663</v>
      </c>
      <c r="T213" s="57" t="s">
        <v>945</v>
      </c>
      <c r="U213" s="146" t="s">
        <v>1593</v>
      </c>
      <c r="V213" s="146"/>
      <c r="W213" s="57" t="s">
        <v>704</v>
      </c>
      <c r="X213" s="146"/>
      <c r="Y213" s="146"/>
      <c r="Z213" s="146"/>
      <c r="AA213" s="151"/>
      <c r="AB213" s="151"/>
      <c r="AC213" s="146"/>
      <c r="AD213" s="146"/>
      <c r="AE213" s="146"/>
      <c r="AF213" s="146"/>
      <c r="AG213" s="146"/>
      <c r="AH213" s="146"/>
      <c r="AI213" s="146"/>
      <c r="AJ213" s="146"/>
      <c r="AK213" s="146"/>
      <c r="AL213" s="146"/>
    </row>
    <row r="214" spans="1:38" ht="27" x14ac:dyDescent="0.35">
      <c r="A214" s="142"/>
      <c r="B214" s="146" t="s">
        <v>931</v>
      </c>
      <c r="C214" s="198" t="s">
        <v>1594</v>
      </c>
      <c r="D214" s="196" t="s">
        <v>18</v>
      </c>
      <c r="E214" s="146"/>
      <c r="F214" s="146"/>
      <c r="G214" s="146"/>
      <c r="H214" s="146"/>
      <c r="I214" s="146"/>
      <c r="J214" s="57" t="s">
        <v>697</v>
      </c>
      <c r="K214" s="57" t="s">
        <v>697</v>
      </c>
      <c r="L214" s="199" t="s">
        <v>18</v>
      </c>
      <c r="M214" s="200" t="s">
        <v>1595</v>
      </c>
      <c r="N214" s="147">
        <v>2</v>
      </c>
      <c r="O214" s="148">
        <v>47184</v>
      </c>
      <c r="P214" s="148">
        <v>45359</v>
      </c>
      <c r="Q214" s="57" t="s">
        <v>700</v>
      </c>
      <c r="R214" s="149">
        <v>1400</v>
      </c>
      <c r="S214" s="146" t="s">
        <v>697</v>
      </c>
      <c r="T214" s="146" t="s">
        <v>697</v>
      </c>
      <c r="U214" s="146" t="s">
        <v>1596</v>
      </c>
      <c r="V214" s="146"/>
      <c r="W214" s="57" t="s">
        <v>704</v>
      </c>
      <c r="X214" s="146"/>
      <c r="Y214" s="146"/>
      <c r="Z214" s="146"/>
      <c r="AA214" s="151"/>
      <c r="AB214" s="151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</row>
  </sheetData>
  <mergeCells count="11">
    <mergeCell ref="L1:L2"/>
    <mergeCell ref="M1:M2"/>
    <mergeCell ref="AA1:AA2"/>
    <mergeCell ref="AB1:AB2"/>
    <mergeCell ref="AC1:AL1"/>
    <mergeCell ref="A1:A2"/>
    <mergeCell ref="B1:B2"/>
    <mergeCell ref="C1:C2"/>
    <mergeCell ref="D1:H1"/>
    <mergeCell ref="I1:I2"/>
    <mergeCell ref="J1:K1"/>
  </mergeCells>
  <hyperlinks>
    <hyperlink ref="G45" r:id="rId1" xr:uid="{969D6FCA-46E4-4960-AC37-447D95FFAD4E}"/>
    <hyperlink ref="G197" r:id="rId2" xr:uid="{ACCC7554-67BB-4891-9CE4-70B528C2ED7C}"/>
    <hyperlink ref="G198" r:id="rId3" xr:uid="{03A1D027-99C4-40AB-AFC3-FC61288CAE11}"/>
    <hyperlink ref="G199" r:id="rId4" xr:uid="{7C8DF720-DF39-4BAA-81EE-44F810771DFE}"/>
    <hyperlink ref="G200" r:id="rId5" xr:uid="{7AFAF61F-9854-41C5-B8A6-36A2E32573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drillers</vt:lpstr>
      <vt:lpstr>Active drillers</vt:lpstr>
      <vt:lpstr>unlicensed applications</vt:lpstr>
      <vt:lpstr>Effluent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Egrina Katsalira</dc:creator>
  <cp:lastModifiedBy>Egrina Katsalira</cp:lastModifiedBy>
  <dcterms:created xsi:type="dcterms:W3CDTF">2026-01-27T07:06:30Z</dcterms:created>
  <dcterms:modified xsi:type="dcterms:W3CDTF">2026-01-27T07:11:32Z</dcterms:modified>
</cp:coreProperties>
</file>